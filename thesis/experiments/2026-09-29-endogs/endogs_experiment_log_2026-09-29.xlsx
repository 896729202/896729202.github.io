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dc0e4e0ca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f1192c662eb14ae0"/>
    <x:sheet xmlns:r="http://schemas.openxmlformats.org/officeDocument/2006/relationships" name="01_实验台账" sheetId="2" r:id="R298922ec937346fc"/>
    <x:sheet xmlns:r="http://schemas.openxmlformats.org/officeDocument/2006/relationships" name="02_基准结果" sheetId="3" r:id="R84e38d61a42f45e3"/>
    <x:sheet xmlns:r="http://schemas.openxmlformats.org/officeDocument/2006/relationships" name="03_曝光与真值" sheetId="4" r:id="R83ed0d8c5ecf4cad"/>
    <x:sheet xmlns:r="http://schemas.openxmlformats.org/officeDocument/2006/relationships" name="04_控制与负结果" sheetId="5" r:id="R05975f4593b44268"/>
    <x:sheet xmlns:r="http://schemas.openxmlformats.org/officeDocument/2006/relationships" name="05_待办与阻塞" sheetId="6" r:id="R398f4c467e3d48dc"/>
    <x:sheet xmlns:r="http://schemas.openxmlformats.org/officeDocument/2006/relationships" name="06_追加记录模板" sheetId="7" r:id="Ra6bc21dfa2184577"/>
    <x:sheet xmlns:r="http://schemas.openxmlformats.org/officeDocument/2006/relationships" name="07_历史口径归档" sheetId="8" r:id="R4322adf36914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0000"/>
    <x:numFmt numFmtId="202" formatCode="0"/>
    <x:numFmt numFmtId="203" formatCode="0.0%"/>
    <x:numFmt numFmtId="204" formatCode="+0.00;-0.00;0.00"/>
    <x:numFmt numFmtId="205" formatCode="yyyy-mm-dd"/>
  </x:numFmts>
  <x:fonts count="5">
    <x:font>
      <x:sz val="11"/>
      <x:name val="Carlito"/>
    </x:font>
    <x:font>
      <x:sz val="11"/>
      <x:color rgb="FF18354A"/>
      <x:name val="Carlito"/>
    </x:font>
    <x:font>
      <x:b/>
      <x:sz val="11"/>
      <x:color rgb="FFFFFFFF"/>
      <x:name val="Carlito"/>
    </x:font>
    <x:font>
      <x:sz val="11"/>
      <x:color rgb="FF596D7C"/>
      <x:name val="Carlito"/>
    </x:font>
    <x:font>
      <x:b/>
      <x:sz val="11"/>
      <x:color rgb="FF1835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54A"/>
      </x:patternFill>
    </x:fill>
    <x:fill>
      <x:patternFill patternType="solid">
        <x:fgColor rgb="FFEDF5F7"/>
      </x:patternFill>
    </x:fill>
    <x:fill>
      <x:patternFill patternType="solid">
        <x:fgColor rgb="FF167D8D"/>
      </x:patternFill>
    </x:fill>
    <x:fill>
      <x:patternFill patternType="solid">
        <x:fgColor rgb="FFFFF3CD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4" fontId="1" fillId="0" borderId="1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 applyAlignment="1">
      <x:alignment vertical="top" wrapText="1"/>
    </x:xf>
    <x:xf numFmtId="205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A33434"/>
      </x:font>
    </x:dxf>
    <x:dxf>
      <x:fill>
        <x:patternFill patternType="solid">
          <x:bgColor rgb="FFFFF3CD"/>
        </x:patternFill>
      </x:fill>
    </x:dxf>
    <x:dxf>
      <x:fill>
        <x:patternFill patternType="solid">
          <x:bgColor rgb="FFFFF3CD"/>
        </x:patternFill>
      </x:fill>
    </x:dxf>
    <x:dxf>
      <x:fill>
        <x:patternFill patternType="solid"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ae79f87b842b6" /><Relationship Type="http://schemas.openxmlformats.org/officeDocument/2006/relationships/theme" Target="/xl/theme/theme1.xml" Id="Rf21799ba57e84896" /><Relationship Type="http://schemas.openxmlformats.org/officeDocument/2006/relationships/sharedStrings" Target="/xl/sharedStrings.xml" Id="Re7978551c6084597" /><Relationship Type="http://schemas.openxmlformats.org/officeDocument/2006/relationships/worksheet" Target="/xl/worksheets/sheet1.xml" Id="Rf1192c662eb14ae0" /><Relationship Type="http://schemas.openxmlformats.org/officeDocument/2006/relationships/worksheet" Target="/xl/worksheets/sheet2.xml" Id="R298922ec937346fc" /><Relationship Type="http://schemas.openxmlformats.org/officeDocument/2006/relationships/worksheet" Target="/xl/worksheets/sheet3.xml" Id="R84e38d61a42f45e3" /><Relationship Type="http://schemas.openxmlformats.org/officeDocument/2006/relationships/worksheet" Target="/xl/worksheets/sheet4.xml" Id="R83ed0d8c5ecf4cad" /><Relationship Type="http://schemas.openxmlformats.org/officeDocument/2006/relationships/worksheet" Target="/xl/worksheets/sheet5.xml" Id="R05975f4593b44268" /><Relationship Type="http://schemas.openxmlformats.org/officeDocument/2006/relationships/worksheet" Target="/xl/worksheets/sheet6.xml" Id="R398f4c467e3d48dc" /><Relationship Type="http://schemas.openxmlformats.org/officeDocument/2006/relationships/worksheet" Target="/xl/worksheets/sheet7.xml" Id="Ra6bc21dfa2184577" /><Relationship Type="http://schemas.openxmlformats.org/officeDocument/2006/relationships/worksheet" Target="/xl/worksheets/sheet8.xml" Id="R4322adf36914429d" /></Relationships>
</file>

<file path=xl/tables/table1.xml><?xml version="1.0" encoding="utf-8"?>
<x:table xmlns:x="http://schemas.openxmlformats.org/spreadsheetml/2006/main" id="1" name="ExperimentLedger" displayName="ExperimentLedger" ref="A5:I20" headerRowCount="1" totalsRowCount="0" totalsRowShown="0">
  <x:tableColumns count="9">
    <x:tableColumn id="1" name="记录编号"/>
    <x:tableColumn id="2" name="阶段/实验"/>
    <x:tableColumn id="3" name="为什么做"/>
    <x:tableColumn id="4" name="怎么做/关键对照"/>
    <x:tableColumn id="5" name="实际结果"/>
    <x:tableColumn id="6" name="支持的结论"/>
    <x:tableColumn id="7" name="不能推出/局限"/>
    <x:tableColumn id="8" name="状态"/>
    <x:tableColumn id="9" name="证据定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rrentBaselines" displayName="CurrentBaselines" ref="A5:K9" headerRowCount="1" totalsRowCount="0" totalsRowShown="0">
  <x:tableColumns count="11">
    <x:tableColumn id="1" name="记录编号"/>
    <x:tableColumn id="2" name="数据集"/>
    <x:tableColumn id="3" name="场景"/>
    <x:tableColumn id="4" name="方法"/>
    <x:tableColumn id="5" name="PSNR↑ (dB)"/>
    <x:tableColumn id="6" name="SSIM↑"/>
    <x:tableColumn id="7" name="LPIPS↓"/>
    <x:tableColumn id="8" name="种子数"/>
    <x:tableColumn id="9" name="训练步数"/>
    <x:tableColumn id="10" name="评价口径"/>
    <x:tableColumn id="11" name="证据定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eometryResults" displayName="GeometryResults" ref="A5:J12" headerRowCount="1" totalsRowCount="0" totalsRowShown="0">
  <x:tableColumns count="10">
    <x:tableColumn id="1" name="记录编号"/>
    <x:tableColumn id="2" name="数据/场景"/>
    <x:tableColumn id="3" name="比较或条件"/>
    <x:tableColumn id="4" name="指标"/>
    <x:tableColumn id="5" name="均值/单次值 (mm)"/>
    <x:tableColumn id="6" name="样本标准差 (mm)"/>
    <x:tableColumn id="7" name="重复层级"/>
    <x:tableColumn id="8" name="能验证什么"/>
    <x:tableColumn id="9" name="解释边界"/>
    <x:tableColumn id="10" name="证据定位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Results" displayName="ControlResults" ref="A5:I13" headerRowCount="1" totalsRowCount="0" totalsRowShown="0">
  <x:tableColumns count="9">
    <x:tableColumn id="1" name="记录编号"/>
    <x:tableColumn id="2" name="方案"/>
    <x:tableColumn id="3" name="实验目的"/>
    <x:tableColumn id="4" name="场景"/>
    <x:tableColumn id="5" name="敏感性降幅"/>
    <x:tableColumn id="6" name="A条件PSNR变化 (dB)"/>
    <x:tableColumn id="7" name="其他观察/比较基准"/>
    <x:tableColumn id="8" name="判定"/>
    <x:tableColumn id="9" name="证据定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ndingItems" displayName="PendingItems" ref="A5:F13" headerRowCount="1" totalsRowCount="0" totalsRowShown="0">
  <x:tableColumns count="6">
    <x:tableColumn id="1" name="待办编号"/>
    <x:tableColumn id="2" name="事项"/>
    <x:tableColumn id="3" name="现有状态"/>
    <x:tableColumn id="4" name="为什么尚不能计入结果"/>
    <x:tableColumn id="5" name="单卡下的下一步/限制"/>
    <x:tableColumn id="6" name="证据/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ppendTemplate" displayName="AppendTemplate" ref="A5:R17" headerRowCount="1" totalsRowCount="0" totalsRowShown="0">
  <x:tableColumns count="18">
    <x:tableColumn id="1" name="新记录编号"/>
    <x:tableColumn id="2" name="真实运行ID/路径"/>
    <x:tableColumn id="3" name="开始日期"/>
    <x:tableColumn id="4" name="状态"/>
    <x:tableColumn id="5" name="研究问题/目的"/>
    <x:tableColumn id="6" name="数据/窗口与划分ID"/>
    <x:tableColumn id="7" name="对照组/必要消融"/>
    <x:tableColumn id="8" name="协议/代码commit"/>
    <x:tableColumn id="9" name="唯一改变项"/>
    <x:tableColumn id="10" name="种子"/>
    <x:tableColumn id="11" name="训练步数"/>
    <x:tableColumn id="12" name="GPU/峰值显存"/>
    <x:tableColumn id="13" name="评价集与掩膜口径"/>
    <x:tableColumn id="14" name="实测结果"/>
    <x:tableColumn id="15" name="允许的结论"/>
    <x:tableColumn id="16" name="局限/失败原因"/>
    <x:tableColumn id="17" name="证据文件"/>
    <x:tableColumn id="18" name="下一步判定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istoricalRecords" displayName="HistoricalRecords" ref="A5:F11" headerRowCount="1" totalsRowCount="0" totalsRowShown="0">
  <x:tableColumns count="6">
    <x:tableColumn id="1" name="历史编号"/>
    <x:tableColumn id="2" name="阶段/目的"/>
    <x:tableColumn id="3" name="已报告结果"/>
    <x:tableColumn id="4" name="口径与样本"/>
    <x:tableColumn id="5" name="当前使用规则"/>
    <x:tableColumn id="6" name="历史证据定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c2558fb8d842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d245aff7044d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dde4a205e94a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1bcabe8a1b46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84f694408647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8d25b6310140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c1a891f179440e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6" customHeight="1">
      <x:c r="A1" s="9" t="str">
        <x:v>内窥镜动态三维重建 · 实验记录本</x:v>
      </x:c>
      <x:c r="B1" s="9"/>
      <x:c r="C1" s="9"/>
      <x:c r="D1" s="9"/>
      <x:c r="E1" s="9"/>
      <x:c r="F1" s="9"/>
      <x:c r="G1" s="9"/>
      <x:c r="H1" s="9"/>
    </x:row>
    <x:row r="2" ht="24" customHeight="1">
      <x:c r="A2" s="13" t="str">
        <x:v>记录更新：2026-09-29｜仅记录已报告结果，不补造运行日志。
来源：本对话中用户提供的实验汇总；未直接核验服务器原文件。证据路径是定位线索，不代表本轮已读取。</x:v>
      </x:c>
      <x:c r="B2" s="13"/>
      <x:c r="C2" s="13"/>
      <x:c r="D2" s="13"/>
      <x:c r="E2" s="13"/>
      <x:c r="F2" s="13"/>
      <x:c r="G2" s="13"/>
      <x:c r="H2" s="13"/>
    </x:row>
    <x:row r="3" ht="24" customHeight="1">
      <x:c r="A3" s="13"/>
      <x:c r="B3" s="13"/>
      <x:c r="C3" s="13"/>
      <x:c r="D3" s="13"/>
      <x:c r="E3" s="13"/>
      <x:c r="F3" s="13"/>
      <x:c r="G3" s="13"/>
      <x:c r="H3" s="13"/>
    </x:row>
    <x:row r="4">
      <x:c r="A4" s="4"/>
      <x:c r="B4" s="4"/>
      <x:c r="C4" s="4"/>
      <x:c r="D4" s="4"/>
      <x:c r="E4" s="4"/>
      <x:c r="F4" s="4"/>
      <x:c r="G4" s="4"/>
      <x:c r="H4" s="4"/>
    </x:row>
    <x:row r="5" ht="26" customHeight="1">
      <x:c r="A5" s="18" t="str">
        <x:v>有效3000步训练</x:v>
      </x:c>
      <x:c r="B5" s="18"/>
      <x:c r="C5" s="18" t="str">
        <x:v>已测试集评价</x:v>
      </x:c>
      <x:c r="D5" s="18"/>
      <x:c r="E5" s="18" t="str">
        <x:v>仅验证集控制</x:v>
      </x:c>
      <x:c r="F5" s="18"/>
      <x:c r="G5" s="18" t="str">
        <x:v>当前可用GPU</x:v>
      </x:c>
      <x:c r="H5" s="18"/>
    </x:row>
    <x:row r="6" ht="27" customHeight="1">
      <x:c r="A6" s="23" t="n">
        <x:v>64</x:v>
      </x:c>
      <x:c r="B6" s="23"/>
      <x:c r="C6" s="23" t="n">
        <x:v>61</x:v>
      </x:c>
      <x:c r="D6" s="23"/>
      <x:c r="E6" s="23" t="n">
        <x:v>3</x:v>
      </x:c>
      <x:c r="F6" s="23"/>
      <x:c r="G6" s="23" t="n">
        <x:v>1</x:v>
      </x:c>
      <x:c r="H6" s="23"/>
    </x:row>
    <x:row r="7" ht="27" customHeight="1">
      <x:c r="A7" s="23"/>
      <x:c r="B7" s="23"/>
      <x:c r="C7" s="23"/>
      <x:c r="D7" s="23"/>
      <x:c r="E7" s="23"/>
      <x:c r="F7" s="23"/>
      <x:c r="G7" s="23"/>
      <x:c r="H7" s="23"/>
    </x:row>
    <x:row r="8">
      <x:c r="A8" s="4"/>
      <x:c r="B8" s="4"/>
      <x:c r="C8" s="4"/>
      <x:c r="D8" s="4"/>
      <x:c r="E8" s="4"/>
      <x:c r="F8" s="4"/>
      <x:c r="G8" s="4"/>
      <x:c r="H8" s="4"/>
    </x:row>
    <x:row r="9" ht="30" customHeight="1">
      <x:c r="A9" s="26" t="str">
        <x:v>64是训练运行数，15是本次整理的研究条目数；两者层级不同，不能互相替代。</x:v>
      </x:c>
      <x:c r="B9" s="26"/>
      <x:c r="C9" s="26"/>
      <x:c r="D9" s="26"/>
      <x:c r="E9" s="26"/>
      <x:c r="F9" s="26"/>
      <x:c r="G9" s="26"/>
      <x:c r="H9" s="26"/>
    </x:row>
    <x:row r="10">
      <x:c r="A10" s="4"/>
      <x:c r="B10" s="4"/>
      <x:c r="C10" s="4"/>
      <x:c r="D10" s="4"/>
      <x:c r="E10" s="4"/>
      <x:c r="F10" s="4"/>
      <x:c r="G10" s="4"/>
      <x:c r="H10" s="4"/>
    </x:row>
    <x:row r="11" ht="28" customHeight="1">
      <x:c r="A11" s="4" t="str">
        <x:v>训练数量核对：测试 + 验证</x:v>
      </x:c>
      <x:c r="B11" s="4"/>
      <x:c r="C11" s="4"/>
      <x:c r="D11" s="4" t="n">
        <x:f>C6+E6</x:f>
        <x:v>64</x:v>
      </x:c>
      <x:c r="E11" s="4" t="str">
        <x:v>与报告总数一致？</x:v>
      </x:c>
      <x:c r="F11" s="4"/>
      <x:c r="G11" s="4" t="str">
        <x:f>IF(D11=A6,"一致","需核对")</x:f>
        <x:v>一致</x:v>
      </x:c>
      <x:c r="H11" s="4"/>
    </x:row>
    <x:row r="12">
      <x:c r="A12" s="4"/>
      <x:c r="B12" s="4"/>
      <x:c r="C12" s="4"/>
      <x:c r="D12" s="4"/>
      <x:c r="E12" s="4"/>
      <x:c r="F12" s="4"/>
      <x:c r="G12" s="4"/>
      <x:c r="H12" s="4"/>
    </x:row>
    <x:row r="13" ht="25" customHeight="1">
      <x:c r="A13" s="17" t="str">
        <x:v>页签</x:v>
      </x:c>
      <x:c r="B13" s="17" t="str">
        <x:v>内容/使用规则</x:v>
      </x:c>
      <x:c r="C13" s="17"/>
      <x:c r="D13" s="17"/>
      <x:c r="E13" s="17"/>
      <x:c r="F13" s="17"/>
      <x:c r="G13" s="17"/>
      <x:c r="H13" s="17"/>
    </x:row>
    <x:row r="14" ht="35" customHeight="1">
      <x:c r="A14" s="4" t="str">
        <x:v>01_实验台账</x:v>
      </x:c>
      <x:c r="B14" s="4" t="str">
        <x:v>按研究推进逻辑整理15项：目的、做法、结果、证据边界和状态。不是伪造的逐次运行日志。</x:v>
      </x:c>
      <x:c r="C14" s="4"/>
      <x:c r="D14" s="4"/>
      <x:c r="E14" s="4"/>
      <x:c r="F14" s="4"/>
      <x:c r="G14" s="4"/>
      <x:c r="H14" s="4"/>
    </x:row>
    <x:row r="15" ht="35" customHeight="1">
      <x:c r="A15" s="4" t="str">
        <x:v>02_基准结果</x:v>
      </x:c>
      <x:c r="B15" s="4" t="str">
        <x:v>最新报告的4组EndoNeRF单种子组织块PSNR/SSIM/LPIPS。</x:v>
      </x:c>
      <x:c r="C15" s="4"/>
      <x:c r="D15" s="4"/>
      <x:c r="E15" s="4"/>
      <x:c r="F15" s="4"/>
      <x:c r="G15" s="4"/>
      <x:c r="H15" s="4"/>
    </x:row>
    <x:row r="16" ht="35" customHeight="1">
      <x:c r="A16" s="4" t="str">
        <x:v>03_曝光与真值</x:v>
      </x:c>
      <x:c r="B16" s="4" t="str">
        <x:v>真实序列A/B、A/A与解析场景MAE分开列示；标准差缺失不是0。</x:v>
      </x:c>
      <x:c r="C16" s="4"/>
      <x:c r="D16" s="4"/>
      <x:c r="E16" s="4"/>
      <x:c r="F16" s="4"/>
      <x:c r="G16" s="4"/>
      <x:c r="H16" s="4"/>
    </x:row>
    <x:row r="17" ht="35" customHeight="1">
      <x:c r="A17" s="4" t="str">
        <x:v>04_控制与负结果</x:v>
      </x:c>
      <x:c r="B17" s="4" t="str">
        <x:v>8条结果对应7类方案；验证基准不同，不按降幅大小做方法排名。</x:v>
      </x:c>
      <x:c r="C17" s="4"/>
      <x:c r="D17" s="4"/>
      <x:c r="E17" s="4"/>
      <x:c r="F17" s="4"/>
      <x:c r="G17" s="4"/>
      <x:c r="H17" s="4"/>
    </x:row>
    <x:row r="18" ht="35" customHeight="1">
      <x:c r="A18" s="4" t="str">
        <x:v>05_待办与阻塞</x:v>
      </x:c>
      <x:c r="B18" s="4" t="str">
        <x:v>两条候选路径、缺失对照及数据阻塞；全部与已完成结果分离。</x:v>
      </x:c>
      <x:c r="C18" s="4"/>
      <x:c r="D18" s="4"/>
      <x:c r="E18" s="4"/>
      <x:c r="F18" s="4"/>
      <x:c r="G18" s="4"/>
      <x:c r="H18" s="4"/>
    </x:row>
    <x:row r="19" ht="35" customHeight="1">
      <x:c r="A19" s="4" t="str">
        <x:v>06_追加记录模板</x:v>
      </x:c>
      <x:c r="B19" s="4" t="str">
        <x:v>每个新运行记录真实运行ID、协议、对照、结果和证据，避免重复或遗忘。</x:v>
      </x:c>
      <x:c r="C19" s="4"/>
      <x:c r="D19" s="4"/>
      <x:c r="E19" s="4"/>
      <x:c r="F19" s="4"/>
      <x:c r="G19" s="4"/>
      <x:c r="H19" s="4"/>
    </x:row>
    <x:row r="20" ht="35" customHeight="1">
      <x:c r="A20" s="4" t="str">
        <x:v>07_历史口径归档</x:v>
      </x:c>
      <x:c r="B20" s="4" t="str">
        <x:v>旧审计、旧训练帧初始化基准和早期区域分析；不混入当前数值比较。</x:v>
      </x:c>
      <x:c r="C20" s="4"/>
      <x:c r="D20" s="4"/>
      <x:c r="E20" s="4"/>
      <x:c r="F20" s="4"/>
      <x:c r="G20" s="4"/>
      <x:c r="H20" s="4"/>
    </x:row>
    <x:row r="21">
      <x:c r="A21" s="4"/>
      <x:c r="B21" s="4"/>
      <x:c r="C21" s="4"/>
      <x:c r="D21" s="4"/>
      <x:c r="E21" s="4"/>
      <x:c r="F21" s="4"/>
      <x:c r="G21" s="4"/>
      <x:c r="H21" s="4"/>
    </x:row>
    <x:row r="22">
      <x:c r="A22" s="4"/>
      <x:c r="B22" s="4"/>
      <x:c r="C22" s="4"/>
      <x:c r="D22" s="4"/>
      <x:c r="E22" s="4"/>
      <x:c r="F22" s="4"/>
      <x:c r="G22" s="4"/>
      <x:c r="H22" s="4"/>
    </x:row>
    <x:row r="23" ht="32" customHeight="1">
      <x:c r="A23" s="26" t="str">
        <x:v>单卡运行规则：最多一个训练任务；多种子和多个对照逐个执行；不同任务不并发。</x:v>
      </x:c>
      <x:c r="B23" s="26"/>
      <x:c r="C23" s="26"/>
      <x:c r="D23" s="26"/>
      <x:c r="E23" s="26"/>
      <x:c r="F23" s="26"/>
      <x:c r="G23" s="26"/>
      <x:c r="H23" s="26"/>
    </x:row>
    <x:row r="24" ht="32" customHeight="1">
      <x:c r="A24" s="26" t="str">
        <x:v>设备边界：不沿用旧GPU 1/2/3授权列表；实际GPU编号、型号、显存尚未确认，不预设可容纳双模型。</x:v>
      </x:c>
      <x:c r="B24" s="26"/>
      <x:c r="C24" s="26"/>
      <x:c r="D24" s="26"/>
      <x:c r="E24" s="26"/>
      <x:c r="F24" s="26"/>
      <x:c r="G24" s="26"/>
      <x:c r="H24" s="26"/>
    </x:row>
    <x:row r="25" ht="32" customHeight="1">
      <x:c r="A25" s="4" t="str">
        <x:v>启动门槛：先检查目的和必要对照是否已有证据；只因换显卡，不重跑原64次训练。</x:v>
      </x:c>
      <x:c r="B25" s="4"/>
      <x:c r="C25" s="4"/>
      <x:c r="D25" s="4"/>
      <x:c r="E25" s="4"/>
      <x:c r="F25" s="4"/>
      <x:c r="G25" s="4"/>
      <x:c r="H25" s="4"/>
    </x:row>
    <x:row r="26" ht="32" customHeight="1">
      <x:c r="A26" s="4" t="str">
        <x:v>记录原则：已完成、负结果、候选方案、阻塞分开；未给出的具体数值标为未提供。</x:v>
      </x:c>
      <x:c r="B26" s="4"/>
      <x:c r="C26" s="4"/>
      <x:c r="D26" s="4"/>
      <x:c r="E26" s="4"/>
      <x:c r="F26" s="4"/>
      <x:c r="G26" s="4"/>
      <x:c r="H26" s="4"/>
    </x:row>
    <x:row r="27" ht="32" customHeight="1">
      <x:c r="A27" s="4" t="str">
        <x:v>结论边界：真实A/B深度差是敏感性，解析MAE是真值误差；两者不得混用。</x:v>
      </x:c>
      <x:c r="B27" s="4"/>
      <x:c r="C27" s="4"/>
      <x:c r="D27" s="4"/>
      <x:c r="E27" s="4"/>
      <x:c r="F27" s="4"/>
      <x:c r="G27" s="4"/>
      <x:c r="H27" s="4"/>
    </x:row>
    <x:row r="28" ht="32" customHeight="1">
      <x:c r="A28" s="4" t="str">
        <x:v>主要证据入口：endogs_research/科研探索总报告.md；EXPERIMENTS.csv；REPRODUCE.md。</x:v>
      </x:c>
      <x:c r="B28" s="4"/>
      <x:c r="C28" s="4"/>
      <x:c r="D28" s="4"/>
      <x:c r="E28" s="4"/>
      <x:c r="F28" s="4"/>
      <x:c r="G28" s="4"/>
      <x:c r="H28" s="4"/>
    </x:row>
    <x:row r="29" ht="32" customHeight="1">
      <x:c r="A29" s="4" t="str">
        <x:v>当前没有据此新启动训练。候选M1/M2的实现和显存可行性都尚未验证。</x:v>
      </x:c>
      <x:c r="B29" s="4"/>
      <x:c r="C29" s="4"/>
      <x:c r="D29" s="4"/>
      <x:c r="E29" s="4"/>
      <x:c r="F29" s="4"/>
      <x:c r="G29" s="4"/>
      <x:c r="H29" s="4"/>
    </x:row>
    <x:row r="30">
      <x:c r="A30" s="4"/>
      <x:c r="B30" s="4"/>
      <x:c r="C30" s="4"/>
      <x:c r="D30" s="4"/>
      <x:c r="E30" s="4"/>
      <x:c r="F30" s="4"/>
      <x:c r="G30" s="4"/>
      <x:c r="H30" s="4"/>
    </x:row>
    <x:row r="31">
      <x:c r="A31" s="4"/>
      <x:c r="B31" s="4"/>
      <x:c r="C31" s="4"/>
      <x:c r="D31" s="4"/>
      <x:c r="E31" s="4"/>
      <x:c r="F31" s="4"/>
      <x:c r="G31" s="4"/>
      <x:c r="H31" s="4"/>
    </x:row>
    <x:row r="32">
      <x:c r="A32" s="4"/>
      <x:c r="B32" s="4"/>
      <x:c r="C32" s="4"/>
      <x:c r="D32" s="4"/>
      <x:c r="E32" s="4"/>
      <x:c r="F32" s="4"/>
      <x:c r="G32" s="4"/>
      <x:c r="H32" s="4"/>
    </x:row>
    <x:row r="33">
      <x:c r="A33" s="4"/>
      <x:c r="B33" s="4"/>
      <x:c r="C33" s="4"/>
      <x:c r="D33" s="4"/>
      <x:c r="E33" s="4"/>
      <x:c r="F33" s="4"/>
      <x:c r="G33" s="4"/>
      <x:c r="H33" s="4"/>
    </x:row>
    <x:row r="34">
      <x:c r="A34" s="4"/>
      <x:c r="B34" s="4"/>
      <x:c r="C34" s="4"/>
      <x:c r="D34" s="4"/>
      <x:c r="E34" s="4"/>
      <x:c r="F34" s="4"/>
      <x:c r="G34" s="4"/>
      <x:c r="H34" s="4"/>
    </x:row>
  </x:sheetData>
  <x:mergeCells>
    <x:mergeCell ref="A1:H1"/>
    <x:mergeCell ref="A2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1:C11"/>
    <x:mergeCell ref="E11:F11"/>
    <x:mergeCell ref="G11:H11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A23:H23"/>
    <x:mergeCell ref="A24:H24"/>
    <x:mergeCell ref="A25:H25"/>
    <x:mergeCell ref="A26:H26"/>
    <x:mergeCell ref="A27:H27"/>
    <x:mergeCell ref="A28:H28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6" hidden="0" customWidth="1"/>
    <x:col min="4" max="4" width="40" hidden="0" customWidth="1"/>
    <x:col min="5" max="5" width="40" hidden="0" customWidth="1"/>
    <x:col min="6" max="6" width="36" hidden="0" customWidth="1"/>
    <x:col min="7" max="7" width="40" hidden="0" customWidth="1"/>
    <x:col min="8" max="8" width="24" hidden="0" customWidth="1"/>
    <x:col min="9" max="9" width="40" hidden="0" customWidth="1"/>
  </x:cols>
  <x:sheetData>
    <x:row r="1" ht="32" customHeight="1">
      <x:c r="A1" s="9" t="str">
        <x:v>已完成实验总台账</x:v>
      </x:c>
      <x:c r="B1" s="9"/>
      <x:c r="C1" s="9"/>
      <x:c r="D1" s="9"/>
      <x:c r="E1" s="9"/>
      <x:c r="F1" s="9"/>
      <x:c r="G1" s="9"/>
      <x:c r="H1" s="9"/>
      <x:c r="I1" s="9"/>
    </x:row>
    <x:row r="2" ht="24" customHeight="1">
      <x:c r="A2" s="35" t="str">
        <x:v>来源：本对话中用户提供的实验汇总；未直接核验服务器原文件。证据路径是定位线索，不代表本轮已读取。
E编号为本次记录编号，按研究逻辑整理；准确运行顺序、日期、各项训练次数须以服务器EXPERIMENTS.csv核对。</x:v>
      </x:c>
      <x:c r="B2" s="35"/>
      <x:c r="C2" s="35"/>
      <x:c r="D2" s="35"/>
      <x:c r="E2" s="35"/>
      <x:c r="F2" s="35"/>
      <x:c r="G2" s="35"/>
      <x:c r="H2" s="35"/>
      <x:c r="I2" s="35"/>
    </x:row>
    <x:row r="3" ht="24" customHeight="1">
      <x:c r="A3" s="35"/>
      <x:c r="B3" s="35"/>
      <x:c r="C3" s="35"/>
      <x:c r="D3" s="35"/>
      <x:c r="E3" s="35"/>
      <x:c r="F3" s="35"/>
      <x:c r="G3" s="35"/>
      <x:c r="H3" s="35"/>
      <x:c r="I3" s="35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 ht="38" customHeight="1">
      <x:c r="A5" s="17" t="str">
        <x:v>记录编号</x:v>
      </x:c>
      <x:c r="B5" s="17" t="str">
        <x:v>阶段/实验</x:v>
      </x:c>
      <x:c r="C5" s="17" t="str">
        <x:v>为什么做</x:v>
      </x:c>
      <x:c r="D5" s="17" t="str">
        <x:v>怎么做/关键对照</x:v>
      </x:c>
      <x:c r="E5" s="17" t="str">
        <x:v>实际结果</x:v>
      </x:c>
      <x:c r="F5" s="17" t="str">
        <x:v>支持的结论</x:v>
      </x:c>
      <x:c r="G5" s="17" t="str">
        <x:v>不能推出/局限</x:v>
      </x:c>
      <x:c r="H5" s="17" t="str">
        <x:v>状态</x:v>
      </x:c>
      <x:c r="I5" s="17" t="str">
        <x:v>证据定位</x:v>
      </x:c>
    </x:row>
    <x:row r="6" ht="144" customHeight="1">
      <x:c r="A6" s="28" t="str">
        <x:v>E01</x:v>
      </x:c>
      <x:c r="B6" s="28" t="str">
        <x:v>评测协议与数据隔离审计</x:v>
      </x:c>
      <x:c r="C6" s="28" t="str">
        <x:v>排除训练/测试信息混用及评测口径差异。</x:v>
      </x:c>
      <x:c r="D6" s="28" t="str">
        <x:v>检查初始化、运动统计、训练输入、旧缓存、帧划分与掩膜；隔离训练帧流程。</x:v>
      </x:c>
      <x:c r="E6" s="28" t="str">
        <x:v>本地初始化、运动统计和优化已排除测试RGB/深度及旧缓存；完成清单、校验和预处理。</x:v>
      </x:c>
      <x:c r="F6" s="28" t="str">
        <x:v>后续实验具有可复查的本地数据使用边界。</x:v>
      </x:c>
      <x:c r="G6" s="28" t="str">
        <x:v>发布数据上游生成过程未独立核实；不能宣称全链路绝对无测试信息。</x:v>
      </x:c>
      <x:c r="H6" s="28" t="str">
        <x:v>已完成</x:v>
      </x:c>
      <x:c r="I6" s="28" t="str">
        <x:v>endogs_research/科研探索总报告.md；endogs_research/EXPERIMENTS.csv</x:v>
      </x:c>
    </x:row>
    <x:row r="7" ht="144" customHeight="1">
      <x:c r="A7" s="28" t="str">
        <x:v>E02</x:v>
      </x:c>
      <x:c r="B7" s="28" t="str">
        <x:v>Deform3DGS / SurgicalGS 新协议基准</x:v>
      </x:c>
      <x:c r="C7" s="28" t="str">
        <x:v>确认同一记录口径下的起点，避免追逐历史分数。</x:v>
      </x:c>
      <x:c r="D7" s="28" t="str">
        <x:v>EndoNeRF pulling/cutting，单种子、3000步，有效组织块评价。</x:v>
      </x:c>
      <x:c r="E7" s="28" t="str">
        <x:v>四组PSNR/SSIM/LPIPS见「02_基准结果」；两方法无跨场景、跨指标的全面赢家。</x:v>
      </x:c>
      <x:c r="F7" s="28" t="str">
        <x:v>当前主方法与强对照均已恢复，可作相应协议下的比较起点。</x:v>
      </x:c>
      <x:c r="G7" s="28" t="str">
        <x:v>单种子不能判断小幅差异稳定性；不与历史不同口径数值直接比较。</x:v>
      </x:c>
      <x:c r="H7" s="28" t="str">
        <x:v>已完成</x:v>
      </x:c>
      <x:c r="I7" s="28" t="str">
        <x:v>endogs_research/科研探索总报告.md；endogs_research/EXPERIMENTS.csv</x:v>
      </x:c>
    </x:row>
    <x:row r="8" ht="144" customHeight="1">
      <x:c r="A8" s="28" t="str">
        <x:v>E03</x:v>
      </x:c>
      <x:c r="B8" s="28" t="str">
        <x:v>训练掩膜与官方评价掩膜审计</x:v>
      </x:c>
      <x:c r="C8" s="28" t="str">
        <x:v>检查分数变化是否受评价区域选择影响。</x:v>
      </x:c>
      <x:c r="D8" s="28" t="str">
        <x:v>区分有效组织块、全部有效像素、训练掩膜内三个口径。</x:v>
      </x:c>
      <x:c r="E8" s="28" t="str">
        <x:v>训练掩膜与官方评价掩膜有明显差异，会显著改变全像素指标；具体差值未提供。</x:v>
      </x:c>
      <x:c r="F8" s="28" t="str">
        <x:v>掩膜口径是必须固定并分别披露的变量。</x:v>
      </x:c>
      <x:c r="G8" s="28" t="str">
        <x:v>不同掩膜分数变化不能直接解释为模型能力变化。</x:v>
      </x:c>
      <x:c r="H8" s="28" t="str">
        <x:v>已完成</x:v>
      </x:c>
      <x:c r="I8" s="28" t="str">
        <x:v>endogs_research/科研探索总报告.md；endogs_research/EXPERIMENTS.csv</x:v>
      </x:c>
    </x:row>
    <x:row r="9" ht="144" customHeight="1">
      <x:c r="A9" s="28" t="str">
        <x:v>E04</x:v>
      </x:c>
      <x:c r="B9" s="28" t="str">
        <x:v>原始条件 A/A 数值重复性</x:v>
      </x:c>
      <x:c r="C9" s="28" t="str">
        <x:v>估计相同设定下的训练分歧，给A/B敏感性提供参照。</x:v>
      </x:c>
      <x:c r="D9" s="28" t="str">
        <x:v>相同种子及初始/优化/采样设定下，对原始RGB做一次重复训练对照。</x:v>
      </x:c>
      <x:c r="E9" s="28" t="str">
        <x:v>P1差异0.382 mm；P3差异1.038 mm，指标为共同高可见区域的D/α差异。</x:v>
      </x:c>
      <x:c r="F9" s="28" t="str">
        <x:v>同初始条件仍存在数值分歧，P3尤其不可忽略。</x:v>
      </x:c>
      <x:c r="G9" s="28" t="str">
        <x:v>每窗口只有一次同种子重复对照，不能完整估计噪声分布或据此做显著性判断。</x:v>
      </x:c>
      <x:c r="H9" s="28" t="str">
        <x:v>已完成</x:v>
      </x:c>
      <x:c r="I9" s="28" t="str">
        <x:v>endogs_research/experiments/REPEAT-BATCH-001/summary.json</x:v>
      </x:c>
    </x:row>
    <x:row r="10" ht="144" customHeight="1">
      <x:c r="A10" s="28" t="str">
        <x:v>E05</x:v>
      </x:c>
      <x:c r="B10" s="28" t="str">
        <x:v>真实序列曝光 A/B 配对诊断</x:v>
      </x:c>
      <x:c r="C10" s="28" t="str">
        <x:v>检验仅改变训练RGB曝光是否改变重建几何量。</x:v>
      </x:c>
      <x:c r="D10" s="28" t="str">
        <x:v>固定step-0、优化器、随机状态、采样、相机、深度及3000步；EV(t)=0.5sin(2πt)。</x:v>
      </x:c>
      <x:c r="E10" s="28" t="str">
        <x:v>P1：2.377±0.115 mm；P3：2.207±0.170 mm。各3种子，均值±样本标准差。</x:v>
      </x:c>
      <x:c r="F10" s="28" t="str">
        <x:v>在所测窗口与协议下，训练曝光变化会影响最终归一化渲染深度。</x:v>
      </x:c>
      <x:c r="G10" s="28" t="str">
        <x:v>A不是真值；D/α受贡献权重影响，不能解释成真实组织位移或真实几何误差。</x:v>
      </x:c>
      <x:c r="H10" s="28" t="str">
        <x:v>已完成</x:v>
      </x:c>
      <x:c r="I10" s="28" t="str">
        <x:v>endogs_research/experiments/REPEAT-BATCH-001/summary.json</x:v>
      </x:c>
    </x:row>
    <x:row r="11" ht="144" customHeight="1">
      <x:c r="A11" s="28" t="str">
        <x:v>E06</x:v>
      </x:c>
      <x:c r="B11" s="28" t="str">
        <x:v>解析动态曲面几何准确度复验</x:v>
      </x:c>
      <x:c r="C11" s="28" t="str">
        <x:v>区分「结果变化」与「真实几何误差增加」。</x:v>
      </x:c>
      <x:c r="D11" s="28" t="str">
        <x:v>使用解析深度真值，原始/曝光条件配对，3个随机种子。</x:v>
      </x:c>
      <x:c r="E11" s="28" t="str">
        <x:v>MAE：0.241±0.007→0.321±0.002 mm；配对增加0.080±0.006 mm；3种子均恶化。</x:v>
      </x:c>
      <x:c r="F11" s="28" t="str">
        <x:v>曝光干预在该解析生成系统中增加几何误差。</x:v>
      </x:c>
      <x:c r="G11" s="28" t="str">
        <x:v>尚不能外推为真实软组织准确度结论；合成测试不能替代独立真实几何验证。</x:v>
      </x:c>
      <x:c r="H11" s="28" t="str">
        <x:v>已完成</x:v>
      </x:c>
      <x:c r="I11" s="28" t="str">
        <x:v>endogs_research/experiments/SYNTH-GEOMETRY-REPEAT-001/summary.json</x:v>
      </x:c>
    </x:row>
    <x:row r="12" ht="144" customHeight="1">
      <x:c r="A12" s="28" t="str">
        <x:v>E07</x:v>
      </x:c>
      <x:c r="B12" s="28" t="str">
        <x:v>简单高亮降权</x:v>
      </x:c>
      <x:c r="C12" s="28" t="str">
        <x:v>检验削弱高亮像素监督是否足以降低曝光影响。</x:v>
      </x:c>
      <x:c r="D12" s="28" t="str">
        <x:v>对高亮区域降权，与对应验证集基准比较。</x:v>
      </x:c>
      <x:c r="E12" s="28" t="str">
        <x:v>P1敏感性仅下降约3.7%，同时出现图像质量代价。</x:v>
      </x:c>
      <x:c r="F12" s="28" t="str">
        <x:v>该简单降权方案未达到预定联合门槛。</x:v>
      </x:c>
      <x:c r="G12" s="28" t="str">
        <x:v>不能据此否定所有高光/可靠性建模；结果只约束本次实现。</x:v>
      </x:c>
      <x:c r="H12" s="28" t="str">
        <x:v>完成·未过门槛</x:v>
      </x:c>
      <x:c r="I12" s="28" t="str">
        <x:v>endogs_research/科研探索总报告.md；endogs_research/EXPERIMENTS.csv</x:v>
      </x:c>
    </x:row>
    <x:row r="13" ht="144" customHeight="1">
      <x:c r="A13" s="28" t="str">
        <x:v>E08</x:v>
      </x:c>
      <x:c r="B13" s="28" t="str">
        <x:v>已知曝光补偿（机制对照）</x:v>
      </x:c>
      <x:c r="C13" s="28" t="str">
        <x:v>检验能否通过准确补偿曝光显著降低敏感性。</x:v>
      </x:c>
      <x:c r="D13" s="28" t="str">
        <x:v>利用真实EV进行补偿，与对应基准比较。</x:v>
      </x:c>
      <x:c r="E13" s="28" t="str">
        <x:v>P1敏感性下降约81.5%。</x:v>
      </x:c>
      <x:c r="F13" s="28" t="str">
        <x:v>在该设定中，准确曝光补偿具有显著的机制作用。</x:v>
      </x:c>
      <x:c r="G13" s="28" t="str">
        <x:v>使用真实EV，是理想化机制对照，不是可直接部署的无标签算法成果。</x:v>
      </x:c>
      <x:c r="H13" s="28" t="str">
        <x:v>完成·机制对照</x:v>
      </x:c>
      <x:c r="I13" s="28" t="str">
        <x:v>endogs_research/科研探索总报告.md；endogs_research/EXPERIMENTS.csv</x:v>
      </x:c>
    </x:row>
    <x:row r="14" ht="144" customHeight="1">
      <x:c r="A14" s="28" t="str">
        <x:v>E09</x:v>
      </x:c>
      <x:c r="B14" s="28" t="str">
        <x:v>学习曝光曲线</x:v>
      </x:c>
      <x:c r="C14" s="28" t="str">
        <x:v>不使用真实EV监督时，能否兼顾曝光鲁棒性与原始质量。</x:v>
      </x:c>
      <x:c r="D14" s="28" t="str">
        <x:v>学习曝光曲线，并分别检查曝光B和原始A条件。</x:v>
      </x:c>
      <x:c r="E14" s="28" t="str">
        <x:v>P1/P3敏感性下降约72.6%/41.9%；A条件PSNR下降约0.94/0.51 dB。</x:v>
      </x:c>
      <x:c r="F14" s="28" t="str">
        <x:v>可以降低敏感性，但尚未形成稳定净收益。</x:v>
      </x:c>
      <x:c r="G14" s="28" t="str">
        <x:v>最初B条件门槛通过，后来A条件代价暴露；保留两阶段判定，不追溯改写。</x:v>
      </x:c>
      <x:c r="H14" s="28" t="str">
        <x:v>完成·存在质量代价</x:v>
      </x:c>
      <x:c r="I14" s="28" t="str">
        <x:v>endogs_research/科研探索总报告.md；endogs_research/EXPERIMENTS.csv</x:v>
      </x:c>
    </x:row>
    <x:row r="15" ht="144" customHeight="1">
      <x:c r="A15" s="28" t="str">
        <x:v>E10</x:v>
      </x:c>
      <x:c r="B15" s="28" t="str">
        <x:v>学习曝光迁移至SurgicalGS</x:v>
      </x:c>
      <x:c r="C15" s="28" t="str">
        <x:v>检验收益是否可跨重建方法迁移。</x:v>
      </x:c>
      <x:c r="D15" s="28" t="str">
        <x:v>在SurgicalGS的P3上验证学习曝光方案。</x:v>
      </x:c>
      <x:c r="E15" s="28" t="str">
        <x:v>敏感性下降约20.5%，低于预定25%门槛。</x:v>
      </x:c>
      <x:c r="F15" s="28" t="str">
        <x:v>该迁移配置未达到目标。</x:v>
      </x:c>
      <x:c r="G15" s="28" t="str">
        <x:v>不能仅凭方向改善宣称跨方法泛化成立。</x:v>
      </x:c>
      <x:c r="H15" s="28" t="str">
        <x:v>完成·未过门槛</x:v>
      </x:c>
      <x:c r="I15" s="28" t="str">
        <x:v>endogs_research/科研探索总报告.md；endogs_research/EXPERIMENTS.csv</x:v>
      </x:c>
    </x:row>
    <x:row r="16" ht="144" customHeight="1">
      <x:c r="A16" s="28" t="str">
        <x:v>E11</x:v>
      </x:c>
      <x:c r="B16" s="28" t="str">
        <x:v>按训练深度尺度调整深度损失</x:v>
      </x:c>
      <x:c r="C16" s="28" t="str">
        <x:v>检验更强或尺度适配的几何约束能否缓解敏感性。</x:v>
      </x:c>
      <x:c r="D16" s="28" t="str">
        <x:v>按训练深度尺度调整深度损失；检查RGB与LPIPS。</x:v>
      </x:c>
      <x:c r="E16" s="28" t="str">
        <x:v>P1敏感性下降约82.7%，但RGB和LPIPS退化。</x:v>
      </x:c>
      <x:c r="F16" s="28" t="str">
        <x:v>敏感性可以被压低，但本次未满足综合质量门槛。</x:v>
      </x:c>
      <x:c r="G16" s="28" t="str">
        <x:v>不能把A/B更接近等同于更准确；不能把损失强化本身记为有效创新。</x:v>
      </x:c>
      <x:c r="H16" s="28" t="str">
        <x:v>完成·未过门槛</x:v>
      </x:c>
      <x:c r="I16" s="28" t="str">
        <x:v>endogs_research/科研探索总报告.md；endogs_research/EXPERIMENTS.csv</x:v>
      </x:c>
    </x:row>
    <x:row r="17" ht="144" customHeight="1">
      <x:c r="A17" s="28" t="str">
        <x:v>E12</x:v>
      </x:c>
      <x:c r="B17" s="28" t="str">
        <x:v>固定高斯集合/关闭增密裁剪</x:v>
      </x:c>
      <x:c r="C17" s="28" t="str">
        <x:v>检验自适应增密是否是主要敏感性来源。</x:v>
      </x:c>
      <x:c r="D17" s="28" t="str">
        <x:v>关闭增密和裁剪，保留固定高斯集合。</x:v>
      </x:c>
      <x:c r="E17" s="28" t="str">
        <x:v>P1敏感性仅下降约1.7%。</x:v>
      </x:c>
      <x:c r="F17" s="28" t="str">
        <x:v>本次结果不支持将主要问题简单归因于自适应增密。</x:v>
      </x:c>
      <x:c r="G17" s="28" t="str">
        <x:v>没有证明增密完全无影响；其他参数与分支仍可能贡献。</x:v>
      </x:c>
      <x:c r="H17" s="28" t="str">
        <x:v>完成·机制对照</x:v>
      </x:c>
      <x:c r="I17" s="28" t="str">
        <x:v>endogs_research/科研探索总报告.md；endogs_research/EXPERIMENTS.csv</x:v>
      </x:c>
    </x:row>
    <x:row r="18" ht="144" customHeight="1">
      <x:c r="A18" s="28" t="str">
        <x:v>E13</x:v>
      </x:c>
      <x:c r="B18" s="28" t="str">
        <x:v>曝光切向量梯度投影原型</x:v>
      </x:c>
      <x:c r="C18" s="28" t="str">
        <x:v>检验去除曝光相关梯度方向能否改善完整训练。</x:v>
      </x:c>
      <x:c r="D18" s="28" t="str">
        <x:v>完成数学检查、固定模型梯度分析、完整训练及必要的仅L2对照。</x:v>
      </x:c>
      <x:c r="E18" s="28" t="str">
        <x:v>相对仅L2对照，P1敏感性仅改善约8.5%；图像质量及解析几何门槛失败。</x:v>
      </x:c>
      <x:c r="F18" s="28" t="str">
        <x:v>局部梯度方向更一致不保证完整重建更好。</x:v>
      </x:c>
      <x:c r="G18" s="28" t="str">
        <x:v>改善率的参照是仅L2对照，不是任意原始baseline；不可跨表排名。</x:v>
      </x:c>
      <x:c r="H18" s="28" t="str">
        <x:v>完成·停止扩展</x:v>
      </x:c>
      <x:c r="I18" s="28" t="str">
        <x:v>endogs_research/experiments/PROJECTION-PROTOTYPE-001/summary.json</x:v>
      </x:c>
    </x:row>
    <x:row r="19" ht="144" customHeight="1">
      <x:c r="A19" s="28" t="str">
        <x:v>E14</x:v>
      </x:c>
      <x:c r="B19" s="28" t="str">
        <x:v>带非空工具掩膜的补充P1窗口</x:v>
      </x:c>
      <x:c r="C19" s="28" t="str">
        <x:v>排除原P1全有效掩膜包含器械造成的解释偏差。</x:v>
      </x:c>
      <x:c r="D19" s="28" t="str">
        <x:v>按预先确定的数据规则选新P1窗口；两方法均做A/B和A/A。</x:v>
      </x:c>
      <x:c r="E19" s="28" t="str">
        <x:v>曝光敏感性仍存在；重复差异明显增大；排序依赖场景。具体数值未提供。</x:v>
      </x:c>
      <x:c r="F19" s="28" t="str">
        <x:v>敏感性现象在该补充窗口仍可观察；掩膜和重复性应共同报告。</x:v>
      </x:c>
      <x:c r="G19" s="28" t="str">
        <x:v>新旧P1属于同一患者，不能作为独立患者重复；不能称原P1为纯组织评价。</x:v>
      </x:c>
      <x:c r="H19" s="28" t="str">
        <x:v>已完成</x:v>
      </x:c>
      <x:c r="I19" s="28" t="str">
        <x:v>endogs_research/科研探索总报告.md；endogs_research/EXPERIMENTS.csv</x:v>
      </x:c>
    </x:row>
    <x:row r="20" ht="144" customHeight="1">
      <x:c r="A20" s="28" t="str">
        <x:v>E15</x:v>
      </x:c>
      <x:c r="B20" s="28" t="str">
        <x:v>文献与官方代码差异核查</x:v>
      </x:c>
      <x:c r="C20" s="28" t="str">
        <x:v>判断候选方向是否只是已有工作的宽泛重述。</x:v>
      </x:c>
      <x:c r="D20" s="28" t="str">
        <x:v>核查光照、镜面处理、时间可见性感知增密等，并记录阅读深度。</x:v>
      </x:c>
      <x:c r="E20" s="28" t="str">
        <x:v>已有工作覆盖相关宽泛方向；全文未取得的条目已单列。</x:v>
      </x:c>
      <x:c r="F20" s="28" t="str">
        <x:v>创新需落到具体机制、公式、必要对照及独立收益。</x:v>
      </x:c>
      <x:c r="G20" s="28" t="str">
        <x:v>不是穷尽式新颖性证明，也不是已完成算法创新。</x:v>
      </x:c>
      <x:c r="H20" s="28" t="str">
        <x:v>完成·仍有未核实项</x:v>
      </x:c>
      <x:c r="I20" s="28" t="str">
        <x:v>endogs_research/literature/差异与假设.md</x:v>
      </x:c>
    </x:row>
  </x:sheetData>
  <x:mergeCells>
    <x:mergeCell ref="A1:I1"/>
    <x:mergeCell ref="A2:I3"/>
  </x:mergeCells>
  <x:conditionalFormatting sqref="H6:H20">
    <x:cfRule type="expression" dxfId="1" priority="1">
      <x:formula>ISNUMBER(SEARCH("未过",H6))</x:formula>
    </x:cfRule>
    <x:cfRule type="expression" dxfId="2" priority="2">
      <x:formula>ISNUMBER(SEARCH("质量代价",H6))</x:formula>
    </x:cfRule>
    <x:cfRule type="expression" dxfId="3" priority="3">
      <x:formula>ISNUMBER(SEARCH("停止",H6))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c2558fb8d842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7" hidden="0" customWidth="1"/>
    <x:col min="3" max="3" width="15" hidden="0" customWidth="1"/>
    <x:col min="4" max="4" width="21" hidden="0" customWidth="1"/>
    <x:col min="5" max="5" width="16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30" hidden="0" customWidth="1"/>
    <x:col min="11" max="11" width="40" hidden="0" customWidth="1"/>
  </x:cols>
  <x:sheetData>
    <x:row r="1" ht="32" customHeight="1">
      <x:c r="A1" s="9" t="str">
        <x:v>当前新协议基准 · EndoNeRF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 ht="24" customHeight="1">
      <x:c r="A2" s="35" t="str">
        <x:v>单种子、3000步、有效组织块指标。仅用于当前报告内比较；不可与历史37–38 dB结果直接混比。
来源：本对话中用户提供的实验汇总；未直接核验服务器原文件。证据路径是定位线索，不代表本轮已读取。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 ht="24" customHeight="1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</x:row>
    <x:row r="5" ht="38" customHeight="1">
      <x:c r="A5" s="17" t="str">
        <x:v>记录编号</x:v>
      </x:c>
      <x:c r="B5" s="17" t="str">
        <x:v>数据集</x:v>
      </x:c>
      <x:c r="C5" s="17" t="str">
        <x:v>场景</x:v>
      </x:c>
      <x:c r="D5" s="17" t="str">
        <x:v>方法</x:v>
      </x:c>
      <x:c r="E5" s="17" t="str">
        <x:v>PSNR↑ (dB)</x:v>
      </x:c>
      <x:c r="F5" s="17" t="str">
        <x:v>SSIM↑</x:v>
      </x:c>
      <x:c r="G5" s="17" t="str">
        <x:v>LPIPS↓</x:v>
      </x:c>
      <x:c r="H5" s="17" t="str">
        <x:v>种子数</x:v>
      </x:c>
      <x:c r="I5" s="17" t="str">
        <x:v>训练步数</x:v>
      </x:c>
      <x:c r="J5" s="17" t="str">
        <x:v>评价口径</x:v>
      </x:c>
      <x:c r="K5" s="17" t="str">
        <x:v>证据定位</x:v>
      </x:c>
    </x:row>
    <x:row r="6" ht="70" customHeight="1">
      <x:c r="A6" s="28" t="str">
        <x:v>E02</x:v>
      </x:c>
      <x:c r="B6" s="28" t="str">
        <x:v>EndoNeRF</x:v>
      </x:c>
      <x:c r="C6" s="28" t="str">
        <x:v>pulling</x:v>
      </x:c>
      <x:c r="D6" s="28" t="str">
        <x:v>Deform3DGS</x:v>
      </x:c>
      <x:c r="E6" s="42" t="n">
        <x:v>35.865</x:v>
      </x:c>
      <x:c r="F6" s="44" t="n">
        <x:v>0.91735</x:v>
      </x:c>
      <x:c r="G6" s="44" t="n">
        <x:v>0.09144</x:v>
      </x:c>
      <x:c r="H6" s="46" t="n">
        <x:v>1</x:v>
      </x:c>
      <x:c r="I6" s="46" t="n">
        <x:v>3000</x:v>
      </x:c>
      <x:c r="J6" s="28" t="str">
        <x:v>有效组织块；当前新协议</x:v>
      </x:c>
      <x:c r="K6" s="28" t="str">
        <x:v>endogs_research/科研探索总报告.md；endogs_research/EXPERIMENTS.csv</x:v>
      </x:c>
    </x:row>
    <x:row r="7" ht="70" customHeight="1">
      <x:c r="A7" s="28" t="str">
        <x:v>E02</x:v>
      </x:c>
      <x:c r="B7" s="28" t="str">
        <x:v>EndoNeRF</x:v>
      </x:c>
      <x:c r="C7" s="28" t="str">
        <x:v>pulling</x:v>
      </x:c>
      <x:c r="D7" s="28" t="str">
        <x:v>SurgicalGS</x:v>
      </x:c>
      <x:c r="E7" s="42" t="n">
        <x:v>35.369</x:v>
      </x:c>
      <x:c r="F7" s="44" t="n">
        <x:v>0.91841</x:v>
      </x:c>
      <x:c r="G7" s="44" t="n">
        <x:v>0.0975</x:v>
      </x:c>
      <x:c r="H7" s="46" t="n">
        <x:v>1</x:v>
      </x:c>
      <x:c r="I7" s="46" t="n">
        <x:v>3000</x:v>
      </x:c>
      <x:c r="J7" s="28" t="str">
        <x:v>有效组织块；当前新协议</x:v>
      </x:c>
      <x:c r="K7" s="28" t="str">
        <x:v>endogs_research/科研探索总报告.md；endogs_research/EXPERIMENTS.csv</x:v>
      </x:c>
    </x:row>
    <x:row r="8" ht="70" customHeight="1">
      <x:c r="A8" s="28" t="str">
        <x:v>E02</x:v>
      </x:c>
      <x:c r="B8" s="28" t="str">
        <x:v>EndoNeRF</x:v>
      </x:c>
      <x:c r="C8" s="28" t="str">
        <x:v>cutting</x:v>
      </x:c>
      <x:c r="D8" s="28" t="str">
        <x:v>Deform3DGS</x:v>
      </x:c>
      <x:c r="E8" s="42" t="n">
        <x:v>34.274</x:v>
      </x:c>
      <x:c r="F8" s="44" t="n">
        <x:v>0.90574</x:v>
      </x:c>
      <x:c r="G8" s="44" t="n">
        <x:v>0.10694</x:v>
      </x:c>
      <x:c r="H8" s="46" t="n">
        <x:v>1</x:v>
      </x:c>
      <x:c r="I8" s="46" t="n">
        <x:v>3000</x:v>
      </x:c>
      <x:c r="J8" s="28" t="str">
        <x:v>有效组织块；当前新协议</x:v>
      </x:c>
      <x:c r="K8" s="28" t="str">
        <x:v>endogs_research/科研探索总报告.md；endogs_research/EXPERIMENTS.csv</x:v>
      </x:c>
    </x:row>
    <x:row r="9" ht="70" customHeight="1">
      <x:c r="A9" s="28" t="str">
        <x:v>E02</x:v>
      </x:c>
      <x:c r="B9" s="28" t="str">
        <x:v>EndoNeRF</x:v>
      </x:c>
      <x:c r="C9" s="28" t="str">
        <x:v>cutting</x:v>
      </x:c>
      <x:c r="D9" s="28" t="str">
        <x:v>SurgicalGS</x:v>
      </x:c>
      <x:c r="E9" s="42" t="n">
        <x:v>34.815</x:v>
      </x:c>
      <x:c r="F9" s="44" t="n">
        <x:v>0.91226</x:v>
      </x:c>
      <x:c r="G9" s="44" t="n">
        <x:v>0.10745</x:v>
      </x:c>
      <x:c r="H9" s="46" t="n">
        <x:v>1</x:v>
      </x:c>
      <x:c r="I9" s="46" t="n">
        <x:v>3000</x:v>
      </x:c>
      <x:c r="J9" s="28" t="str">
        <x:v>有效组织块；当前新协议</x:v>
      </x:c>
      <x:c r="K9" s="28" t="str">
        <x:v>endogs_research/科研探索总报告.md；endogs_research/EXPERIMENTS.csv</x:v>
      </x:c>
    </x:row>
  </x:sheetData>
  <x:mergeCells>
    <x:mergeCell ref="A1:K1"/>
    <x:mergeCell ref="A2:K3"/>
  </x:mergeCells>
  <x:pageMargins left="0.7" right="0.7" top="0.75" bottom="0.75" header="0.3" footer="0.3"/>
  <x:tableParts count="1">
    <x:tablePart xmlns:r="http://schemas.openxmlformats.org/officeDocument/2006/relationships" r:id="R03d245aff7044d8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3" hidden="0" customWidth="1"/>
    <x:col min="3" max="3" width="32" hidden="0" customWidth="1"/>
    <x:col min="4" max="4" width="31" hidden="0" customWidth="1"/>
    <x:col min="5" max="5" width="21" hidden="0" customWidth="1"/>
    <x:col min="6" max="6" width="21" hidden="0" customWidth="1"/>
    <x:col min="7" max="7" width="30" hidden="0" customWidth="1"/>
    <x:col min="8" max="8" width="34" hidden="0" customWidth="1"/>
    <x:col min="9" max="9" width="38" hidden="0" customWidth="1"/>
    <x:col min="10" max="10" width="40" hidden="0" customWidth="1"/>
  </x:cols>
  <x:sheetData>
    <x:row r="1" ht="32" customHeight="1">
      <x:c r="A1" s="9" t="str">
        <x:v>曝光敏感性与几何准确度 · 分开报告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24" customHeight="1">
      <x:c r="A2" s="35" t="str">
        <x:v>D/α为透明度归一化渲染深度；真实A/B差异不是真值误差。解析MAE与配对增加是不同统计量。
空白标准差=原报告未提供/未估计，不代表0。配对差的标准差保留原报告值。</x:v>
      </x:c>
      <x:c r="B2" s="35"/>
      <x:c r="C2" s="35"/>
      <x:c r="D2" s="35"/>
      <x:c r="E2" s="35"/>
      <x:c r="F2" s="35"/>
      <x:c r="G2" s="35"/>
      <x:c r="H2" s="35"/>
      <x:c r="I2" s="35"/>
      <x:c r="J2" s="35"/>
    </x:row>
    <x:row r="3" ht="24" customHeight="1">
      <x:c r="A3" s="35"/>
      <x:c r="B3" s="35"/>
      <x:c r="C3" s="35"/>
      <x:c r="D3" s="35"/>
      <x:c r="E3" s="35"/>
      <x:c r="F3" s="35"/>
      <x:c r="G3" s="35"/>
      <x:c r="H3" s="35"/>
      <x:c r="I3" s="35"/>
      <x:c r="J3" s="35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</x:row>
    <x:row r="5" ht="38" customHeight="1">
      <x:c r="A5" s="17" t="str">
        <x:v>记录编号</x:v>
      </x:c>
      <x:c r="B5" s="17" t="str">
        <x:v>数据/场景</x:v>
      </x:c>
      <x:c r="C5" s="17" t="str">
        <x:v>比较或条件</x:v>
      </x:c>
      <x:c r="D5" s="17" t="str">
        <x:v>指标</x:v>
      </x:c>
      <x:c r="E5" s="17" t="str">
        <x:v>均值/单次值 (mm)</x:v>
      </x:c>
      <x:c r="F5" s="17" t="str">
        <x:v>样本标准差 (mm)</x:v>
      </x:c>
      <x:c r="G5" s="17" t="str">
        <x:v>重复层级</x:v>
      </x:c>
      <x:c r="H5" s="17" t="str">
        <x:v>能验证什么</x:v>
      </x:c>
      <x:c r="I5" s="17" t="str">
        <x:v>解释边界</x:v>
      </x:c>
      <x:c r="J5" s="17" t="str">
        <x:v>证据定位</x:v>
      </x:c>
    </x:row>
    <x:row r="6" ht="100" customHeight="1">
      <x:c r="A6" s="28" t="str">
        <x:v>E05</x:v>
      </x:c>
      <x:c r="B6" s="28" t="str">
        <x:v>StereoMIS P1</x:v>
      </x:c>
      <x:c r="C6" s="28" t="str">
        <x:v>原始RGB A / 曝光RGB B</x:v>
      </x:c>
      <x:c r="D6" s="28" t="str">
        <x:v>共同高可见区域D/α差异</x:v>
      </x:c>
      <x:c r="E6" s="42" t="n">
        <x:v>2.377</x:v>
      </x:c>
      <x:c r="F6" s="42" t="n">
        <x:v>0.115</x:v>
      </x:c>
      <x:c r="G6" s="28" t="str">
        <x:v>3种子均值±样本SD</x:v>
      </x:c>
      <x:c r="H6" s="28" t="str">
        <x:v>曝光敏感性</x:v>
      </x:c>
      <x:c r="I6" s="28" t="str">
        <x:v>非真值误差；不是组织位移</x:v>
      </x:c>
      <x:c r="J6" s="28" t="str">
        <x:v>endogs_research/experiments/REPEAT-BATCH-001/summary.json</x:v>
      </x:c>
    </x:row>
    <x:row r="7" ht="100" customHeight="1">
      <x:c r="A7" s="28" t="str">
        <x:v>E04</x:v>
      </x:c>
      <x:c r="B7" s="28" t="str">
        <x:v>StereoMIS P1</x:v>
      </x:c>
      <x:c r="C7" s="28" t="str">
        <x:v>原始RGB A / 原始RGB A</x:v>
      </x:c>
      <x:c r="D7" s="28" t="str">
        <x:v>共同高可见区域D/α差异</x:v>
      </x:c>
      <x:c r="E7" s="42" t="n">
        <x:v>0.382</x:v>
      </x:c>
      <x:c r="F7" s="42"/>
      <x:c r="G7" s="28" t="str">
        <x:v>同一种子一次重复对照</x:v>
      </x:c>
      <x:c r="H7" s="28" t="str">
        <x:v>数值重复性参考</x:v>
      </x:c>
      <x:c r="I7" s="28" t="str">
        <x:v>空白SD=未估计；不是0</x:v>
      </x:c>
      <x:c r="J7" s="28" t="str">
        <x:v>endogs_research/experiments/REPEAT-BATCH-001/summary.json</x:v>
      </x:c>
    </x:row>
    <x:row r="8" ht="100" customHeight="1">
      <x:c r="A8" s="28" t="str">
        <x:v>E05</x:v>
      </x:c>
      <x:c r="B8" s="28" t="str">
        <x:v>StereoMIS P3</x:v>
      </x:c>
      <x:c r="C8" s="28" t="str">
        <x:v>原始RGB A / 曝光RGB B</x:v>
      </x:c>
      <x:c r="D8" s="28" t="str">
        <x:v>共同高可见区域D/α差异</x:v>
      </x:c>
      <x:c r="E8" s="42" t="n">
        <x:v>2.207</x:v>
      </x:c>
      <x:c r="F8" s="42" t="n">
        <x:v>0.17</x:v>
      </x:c>
      <x:c r="G8" s="28" t="str">
        <x:v>3种子均值±样本SD</x:v>
      </x:c>
      <x:c r="H8" s="28" t="str">
        <x:v>曝光敏感性</x:v>
      </x:c>
      <x:c r="I8" s="28" t="str">
        <x:v>非真值误差；不是组织位移</x:v>
      </x:c>
      <x:c r="J8" s="28" t="str">
        <x:v>endogs_research/experiments/REPEAT-BATCH-001/summary.json</x:v>
      </x:c>
    </x:row>
    <x:row r="9" ht="100" customHeight="1">
      <x:c r="A9" s="28" t="str">
        <x:v>E04</x:v>
      </x:c>
      <x:c r="B9" s="28" t="str">
        <x:v>StereoMIS P3</x:v>
      </x:c>
      <x:c r="C9" s="28" t="str">
        <x:v>原始RGB A / 原始RGB A</x:v>
      </x:c>
      <x:c r="D9" s="28" t="str">
        <x:v>共同高可见区域D/α差异</x:v>
      </x:c>
      <x:c r="E9" s="42" t="n">
        <x:v>1.038</x:v>
      </x:c>
      <x:c r="F9" s="42"/>
      <x:c r="G9" s="28" t="str">
        <x:v>同一种子一次重复对照</x:v>
      </x:c>
      <x:c r="H9" s="28" t="str">
        <x:v>数值重复性参考</x:v>
      </x:c>
      <x:c r="I9" s="28" t="str">
        <x:v>空白SD=未估计；不是0</x:v>
      </x:c>
      <x:c r="J9" s="28" t="str">
        <x:v>endogs_research/experiments/REPEAT-BATCH-001/summary.json</x:v>
      </x:c>
    </x:row>
    <x:row r="10" ht="100" customHeight="1">
      <x:c r="A10" s="28" t="str">
        <x:v>E06</x:v>
      </x:c>
      <x:c r="B10" s="28" t="str">
        <x:v>解析动态曲面</x:v>
      </x:c>
      <x:c r="C10" s="28" t="str">
        <x:v>原始RGB</x:v>
      </x:c>
      <x:c r="D10" s="28" t="str">
        <x:v>测试深度MAE</x:v>
      </x:c>
      <x:c r="E10" s="42" t="n">
        <x:v>0.241</x:v>
      </x:c>
      <x:c r="F10" s="42" t="n">
        <x:v>0.007</x:v>
      </x:c>
      <x:c r="G10" s="28" t="str">
        <x:v>3种子均值±样本SD</x:v>
      </x:c>
      <x:c r="H10" s="28" t="str">
        <x:v>解析系统中的绝对准确度</x:v>
      </x:c>
      <x:c r="I10" s="28" t="str">
        <x:v>不能外推真实软组织</x:v>
      </x:c>
      <x:c r="J10" s="28" t="str">
        <x:v>endogs_research/experiments/SYNTH-GEOMETRY-REPEAT-001/summary.json</x:v>
      </x:c>
    </x:row>
    <x:row r="11" ht="100" customHeight="1">
      <x:c r="A11" s="28" t="str">
        <x:v>E06</x:v>
      </x:c>
      <x:c r="B11" s="28" t="str">
        <x:v>解析动态曲面</x:v>
      </x:c>
      <x:c r="C11" s="28" t="str">
        <x:v>曝光变化RGB</x:v>
      </x:c>
      <x:c r="D11" s="28" t="str">
        <x:v>测试深度MAE</x:v>
      </x:c>
      <x:c r="E11" s="42" t="n">
        <x:v>0.321</x:v>
      </x:c>
      <x:c r="F11" s="42" t="n">
        <x:v>0.002</x:v>
      </x:c>
      <x:c r="G11" s="28" t="str">
        <x:v>3种子均值±样本SD</x:v>
      </x:c>
      <x:c r="H11" s="28" t="str">
        <x:v>曝光条件的绝对准确度</x:v>
      </x:c>
      <x:c r="I11" s="28" t="str">
        <x:v>不能外推真实软组织</x:v>
      </x:c>
      <x:c r="J11" s="28" t="str">
        <x:v>endogs_research/experiments/SYNTH-GEOMETRY-REPEAT-001/summary.json</x:v>
      </x:c>
    </x:row>
    <x:row r="12" ht="100" customHeight="1">
      <x:c r="A12" s="28" t="str">
        <x:v>E06</x:v>
      </x:c>
      <x:c r="B12" s="28" t="str">
        <x:v>解析动态曲面</x:v>
      </x:c>
      <x:c r="C12" s="28" t="str">
        <x:v>曝光−原始（报告中的配对增量）</x:v>
      </x:c>
      <x:c r="D12" s="28" t="str">
        <x:v>配对深度MAE增加</x:v>
      </x:c>
      <x:c r="E12" s="42" t="n">
        <x:v>0.08</x:v>
      </x:c>
      <x:c r="F12" s="42" t="n">
        <x:v>0.006</x:v>
      </x:c>
      <x:c r="G12" s="28" t="str">
        <x:v>3种子配对差均值±样本SD</x:v>
      </x:c>
      <x:c r="H12" s="28" t="str">
        <x:v>三个种子均同向恶化</x:v>
      </x:c>
      <x:c r="I12" s="28" t="str">
        <x:v>配对SD来自原报告，不由两组SD简单相减</x:v>
      </x:c>
      <x:c r="J12" s="28" t="str">
        <x:v>endogs_research/experiments/SYNTH-GEOMETRY-REPEAT-001/summary.json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39dde4a205e94ab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9" hidden="0" customWidth="1"/>
    <x:col min="3" max="3" width="34" hidden="0" customWidth="1"/>
    <x:col min="4" max="4" width="12" hidden="0" customWidth="1"/>
    <x:col min="5" max="5" width="18" hidden="0" customWidth="1"/>
    <x:col min="6" max="6" width="24" hidden="0" customWidth="1"/>
    <x:col min="7" max="7" width="40" hidden="0" customWidth="1"/>
    <x:col min="8" max="8" width="38" hidden="0" customWidth="1"/>
    <x:col min="9" max="9" width="40" hidden="0" customWidth="1"/>
  </x:cols>
  <x:sheetData>
    <x:row r="1" ht="32" customHeight="1">
      <x:c r="A1" s="9" t="str">
        <x:v>改进探索与机制控制 · 保留负结果</x:v>
      </x:c>
      <x:c r="B1" s="9"/>
      <x:c r="C1" s="9"/>
      <x:c r="D1" s="9"/>
      <x:c r="E1" s="9"/>
      <x:c r="F1" s="9"/>
      <x:c r="G1" s="9"/>
      <x:c r="H1" s="9"/>
      <x:c r="I1" s="9"/>
    </x:row>
    <x:row r="2" ht="24" customHeight="1">
      <x:c r="A2" s="35" t="str">
        <x:v>敏感性降幅主要来自预定验证集；各项比较基准不同，不可作为方法排名。缺失质量数值不等于无代价。
学习曝光保留原过程：最初仅B条件通过，后续发现A条件质量代价。</x:v>
      </x:c>
      <x:c r="B2" s="35"/>
      <x:c r="C2" s="35"/>
      <x:c r="D2" s="35"/>
      <x:c r="E2" s="35"/>
      <x:c r="F2" s="35"/>
      <x:c r="G2" s="35"/>
      <x:c r="H2" s="35"/>
      <x:c r="I2" s="35"/>
    </x:row>
    <x:row r="3" ht="24" customHeight="1">
      <x:c r="A3" s="35"/>
      <x:c r="B3" s="35"/>
      <x:c r="C3" s="35"/>
      <x:c r="D3" s="35"/>
      <x:c r="E3" s="35"/>
      <x:c r="F3" s="35"/>
      <x:c r="G3" s="35"/>
      <x:c r="H3" s="35"/>
      <x:c r="I3" s="35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 ht="38" customHeight="1">
      <x:c r="A5" s="17" t="str">
        <x:v>记录编号</x:v>
      </x:c>
      <x:c r="B5" s="17" t="str">
        <x:v>方案</x:v>
      </x:c>
      <x:c r="C5" s="17" t="str">
        <x:v>实验目的</x:v>
      </x:c>
      <x:c r="D5" s="17" t="str">
        <x:v>场景</x:v>
      </x:c>
      <x:c r="E5" s="17" t="str">
        <x:v>敏感性降幅</x:v>
      </x:c>
      <x:c r="F5" s="17" t="str">
        <x:v>A条件PSNR变化 (dB)</x:v>
      </x:c>
      <x:c r="G5" s="17" t="str">
        <x:v>其他观察/比较基准</x:v>
      </x:c>
      <x:c r="H5" s="17" t="str">
        <x:v>判定</x:v>
      </x:c>
      <x:c r="I5" s="17" t="str">
        <x:v>证据定位</x:v>
      </x:c>
    </x:row>
    <x:row r="6" ht="112" customHeight="1">
      <x:c r="A6" s="28" t="str">
        <x:v>E07</x:v>
      </x:c>
      <x:c r="B6" s="28" t="str">
        <x:v>简单高亮降权</x:v>
      </x:c>
      <x:c r="C6" s="28" t="str">
        <x:v>测试高亮区域降权是否足够</x:v>
      </x:c>
      <x:c r="D6" s="28" t="str">
        <x:v>P1</x:v>
      </x:c>
      <x:c r="E6" s="48" t="n">
        <x:v>0.037</x:v>
      </x:c>
      <x:c r="F6" s="50"/>
      <x:c r="G6" s="28" t="str">
        <x:v>有图像质量代价；对应验证基准</x:v>
      </x:c>
      <x:c r="H6" s="28" t="str">
        <x:v>未达预定门槛</x:v>
      </x:c>
      <x:c r="I6" s="28" t="str">
        <x:v>endogs_research/科研探索总报告.md；endogs_research/EXPERIMENTS.csv</x:v>
      </x:c>
    </x:row>
    <x:row r="7" ht="112" customHeight="1">
      <x:c r="A7" s="28" t="str">
        <x:v>E08</x:v>
      </x:c>
      <x:c r="B7" s="28" t="str">
        <x:v>已知曝光补偿</x:v>
      </x:c>
      <x:c r="C7" s="28" t="str">
        <x:v>确认曝光补偿的机制作用</x:v>
      </x:c>
      <x:c r="D7" s="28" t="str">
        <x:v>P1</x:v>
      </x:c>
      <x:c r="E7" s="48" t="n">
        <x:v>0.815</x:v>
      </x:c>
      <x:c r="F7" s="50"/>
      <x:c r="G7" s="28" t="str">
        <x:v>使用真实EV；其他质量数值未提供</x:v>
      </x:c>
      <x:c r="H7" s="28" t="str">
        <x:v>理想化机制对照，非实际算法成果</x:v>
      </x:c>
      <x:c r="I7" s="28" t="str">
        <x:v>endogs_research/科研探索总报告.md；endogs_research/EXPERIMENTS.csv</x:v>
      </x:c>
    </x:row>
    <x:row r="8" ht="112" customHeight="1">
      <x:c r="A8" s="28" t="str">
        <x:v>E09</x:v>
      </x:c>
      <x:c r="B8" s="28" t="str">
        <x:v>学习曝光曲线</x:v>
      </x:c>
      <x:c r="C8" s="28" t="str">
        <x:v>在未知真实EV下缓解敏感性</x:v>
      </x:c>
      <x:c r="D8" s="28" t="str">
        <x:v>P1</x:v>
      </x:c>
      <x:c r="E8" s="48" t="n">
        <x:v>0.726</x:v>
      </x:c>
      <x:c r="F8" s="50" t="n">
        <x:v>-0.94</x:v>
      </x:c>
      <x:c r="G8" s="28" t="str">
        <x:v>最初B条件门槛通过；后发现A条件质量代价</x:v>
      </x:c>
      <x:c r="H8" s="28" t="str">
        <x:v>尚无稳定净收益</x:v>
      </x:c>
      <x:c r="I8" s="28" t="str">
        <x:v>endogs_research/科研探索总报告.md；endogs_research/EXPERIMENTS.csv</x:v>
      </x:c>
    </x:row>
    <x:row r="9" ht="112" customHeight="1">
      <x:c r="A9" s="28" t="str">
        <x:v>E09</x:v>
      </x:c>
      <x:c r="B9" s="28" t="str">
        <x:v>学习曝光曲线</x:v>
      </x:c>
      <x:c r="C9" s="28" t="str">
        <x:v>在未知真实EV下缓解敏感性</x:v>
      </x:c>
      <x:c r="D9" s="28" t="str">
        <x:v>P3</x:v>
      </x:c>
      <x:c r="E9" s="48" t="n">
        <x:v>0.419</x:v>
      </x:c>
      <x:c r="F9" s="50" t="n">
        <x:v>-0.51</x:v>
      </x:c>
      <x:c r="G9" s="28" t="str">
        <x:v>最初B条件门槛通过；后发现A条件质量代价</x:v>
      </x:c>
      <x:c r="H9" s="28" t="str">
        <x:v>尚无稳定净收益</x:v>
      </x:c>
      <x:c r="I9" s="28" t="str">
        <x:v>endogs_research/科研探索总报告.md；endogs_research/EXPERIMENTS.csv</x:v>
      </x:c>
    </x:row>
    <x:row r="10" ht="112" customHeight="1">
      <x:c r="A10" s="28" t="str">
        <x:v>E10</x:v>
      </x:c>
      <x:c r="B10" s="28" t="str">
        <x:v>学习曝光迁移到SurgicalGS</x:v>
      </x:c>
      <x:c r="C10" s="28" t="str">
        <x:v>测试跨方法迁移</x:v>
      </x:c>
      <x:c r="D10" s="28" t="str">
        <x:v>P3</x:v>
      </x:c>
      <x:c r="E10" s="48" t="n">
        <x:v>0.205</x:v>
      </x:c>
      <x:c r="F10" s="50"/>
      <x:c r="G10" s="28" t="str">
        <x:v>低于预定25%门槛</x:v>
      </x:c>
      <x:c r="H10" s="28" t="str">
        <x:v>未达预定门槛</x:v>
      </x:c>
      <x:c r="I10" s="28" t="str">
        <x:v>endogs_research/科研探索总报告.md；endogs_research/EXPERIMENTS.csv</x:v>
      </x:c>
    </x:row>
    <x:row r="11" ht="112" customHeight="1">
      <x:c r="A11" s="28" t="str">
        <x:v>E11</x:v>
      </x:c>
      <x:c r="B11" s="28" t="str">
        <x:v>按训练深度尺度调深度损失</x:v>
      </x:c>
      <x:c r="C11" s="28" t="str">
        <x:v>检验强化/尺度适配几何监督</x:v>
      </x:c>
      <x:c r="D11" s="28" t="str">
        <x:v>P1</x:v>
      </x:c>
      <x:c r="E11" s="48" t="n">
        <x:v>0.827</x:v>
      </x:c>
      <x:c r="F11" s="50"/>
      <x:c r="G11" s="28" t="str">
        <x:v>RGB和LPIPS退化；具体幅度未提供</x:v>
      </x:c>
      <x:c r="H11" s="28" t="str">
        <x:v>综合门槛失败</x:v>
      </x:c>
      <x:c r="I11" s="28" t="str">
        <x:v>endogs_research/科研探索总报告.md；endogs_research/EXPERIMENTS.csv</x:v>
      </x:c>
    </x:row>
    <x:row r="12" ht="112" customHeight="1">
      <x:c r="A12" s="28" t="str">
        <x:v>E12</x:v>
      </x:c>
      <x:c r="B12" s="28" t="str">
        <x:v>固定高斯集合、关闭增密裁剪</x:v>
      </x:c>
      <x:c r="C12" s="28" t="str">
        <x:v>检验自适应增密主因假设</x:v>
      </x:c>
      <x:c r="D12" s="28" t="str">
        <x:v>P1</x:v>
      </x:c>
      <x:c r="E12" s="48" t="n">
        <x:v>0.017</x:v>
      </x:c>
      <x:c r="F12" s="50"/>
      <x:c r="G12" s="28" t="str">
        <x:v>相对对应基准，变化较小</x:v>
      </x:c>
      <x:c r="H12" s="28" t="str">
        <x:v>不支持将主要问题简单归因于增密</x:v>
      </x:c>
      <x:c r="I12" s="28" t="str">
        <x:v>endogs_research/科研探索总报告.md；endogs_research/EXPERIMENTS.csv</x:v>
      </x:c>
    </x:row>
    <x:row r="13" ht="112" customHeight="1">
      <x:c r="A13" s="28" t="str">
        <x:v>E13</x:v>
      </x:c>
      <x:c r="B13" s="28" t="str">
        <x:v>曝光切向量梯度投影原型</x:v>
      </x:c>
      <x:c r="C13" s="28" t="str">
        <x:v>检验梯度投影能否改善完整训练</x:v>
      </x:c>
      <x:c r="D13" s="28" t="str">
        <x:v>P1</x:v>
      </x:c>
      <x:c r="E13" s="48" t="n">
        <x:v>0.085</x:v>
      </x:c>
      <x:c r="F13" s="50"/>
      <x:c r="G13" s="28" t="str">
        <x:v>相对必要的仅L2对照；图像质量及解析几何门槛失败</x:v>
      </x:c>
      <x:c r="H13" s="28" t="str">
        <x:v>停止扩展</x:v>
      </x:c>
      <x:c r="I13" s="28" t="str">
        <x:v>endogs_research/experiments/PROJECTION-PROTOTYPE-001/summary.json</x:v>
      </x:c>
    </x:row>
  </x:sheetData>
  <x:mergeCells>
    <x:mergeCell ref="A1:I1"/>
    <x:mergeCell ref="A2:I3"/>
  </x:mergeCells>
  <x:conditionalFormatting sqref="F6:F13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1bcabe8a1b466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6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32" customHeight="1">
      <x:c r="A1" s="9" t="str">
        <x:v>尚未执行 / 尚未完成 / 真实阻塞</x:v>
      </x:c>
      <x:c r="B1" s="9"/>
      <x:c r="C1" s="9"/>
      <x:c r="D1" s="9"/>
      <x:c r="E1" s="9"/>
      <x:c r="F1" s="9"/>
    </x:row>
    <x:row r="2" ht="24" customHeight="1">
      <x:c r="A2" s="35" t="str">
        <x:v>以下事项不计入64次已报告训练；未执行方案不写成算法成果。当前仅1张GPU，所有训练串行。
本表是状态记录，不代表已经安排或启动任务。</x:v>
      </x:c>
      <x:c r="B2" s="35"/>
      <x:c r="C2" s="35"/>
      <x:c r="D2" s="35"/>
      <x:c r="E2" s="35"/>
      <x:c r="F2" s="35"/>
    </x:row>
    <x:row r="3" ht="24" customHeight="1">
      <x:c r="A3" s="35"/>
      <x:c r="B3" s="35"/>
      <x:c r="C3" s="35"/>
      <x:c r="D3" s="35"/>
      <x:c r="E3" s="35"/>
      <x:c r="F3" s="35"/>
    </x:row>
    <x:row r="4">
      <x:c r="A4" s="28"/>
      <x:c r="B4" s="28"/>
      <x:c r="C4" s="28"/>
      <x:c r="D4" s="28"/>
      <x:c r="E4" s="28"/>
      <x:c r="F4" s="28"/>
    </x:row>
    <x:row r="5" ht="38" customHeight="1">
      <x:c r="A5" s="17" t="str">
        <x:v>待办编号</x:v>
      </x:c>
      <x:c r="B5" s="17" t="str">
        <x:v>事项</x:v>
      </x:c>
      <x:c r="C5" s="17" t="str">
        <x:v>现有状态</x:v>
      </x:c>
      <x:c r="D5" s="17" t="str">
        <x:v>为什么尚不能计入结果</x:v>
      </x:c>
      <x:c r="E5" s="17" t="str">
        <x:v>单卡下的下一步/限制</x:v>
      </x:c>
      <x:c r="F5" s="17" t="str">
        <x:v>证据/说明</x:v>
      </x:c>
    </x:row>
    <x:row r="6" ht="112" customHeight="1">
      <x:c r="A6" s="28" t="str">
        <x:v>P01</x:v>
      </x:c>
      <x:c r="B6" s="28" t="str">
        <x:v>M1 跨曝光双模型几何协同约束</x:v>
      </x:c>
      <x:c r="C6" s="28" t="str">
        <x:v>仅提出，未执行</x:v>
      </x:c>
      <x:c r="D6" s="28" t="str">
        <x:v>没有训练结果，没有确认独立收益或新颖性</x:v>
      </x:c>
      <x:c r="E6" s="28" t="str">
        <x:v>先做显存与梯度可行性检查；不能假设单卡能同时容纳双模型及其计算图</x:v>
      </x:c>
      <x:c r="F6" s="28" t="str">
        <x:v>来自上一条建议，不计入64次</x:v>
      </x:c>
    </x:row>
    <x:row r="7" ht="112" customHeight="1">
      <x:c r="A7" s="28" t="str">
        <x:v>P02</x:v>
      </x:c>
      <x:c r="B7" s="28" t="str">
        <x:v>M2 虚拟优化响应的梯度门控</x:v>
      </x:c>
      <x:c r="C7" s="28" t="str">
        <x:v>仅提出，未执行</x:v>
      </x:c>
      <x:c r="D7" s="28" t="str">
        <x:v>没有训练结果；敏感度并不天然等于可靠性</x:v>
      </x:c>
      <x:c r="E7" s="28" t="str">
        <x:v>虚拟分支串行执行，先验证状态恢复与显存；不同时跑多个任务</x:v>
      </x:c>
      <x:c r="F7" s="28" t="str">
        <x:v>来自上一条建议，不计入64次</x:v>
      </x:c>
    </x:row>
    <x:row r="8" ht="112" customHeight="1">
      <x:c r="A8" s="28" t="str">
        <x:v>P03</x:v>
      </x:c>
      <x:c r="B8" s="28" t="str">
        <x:v>独立真实几何验证</x:v>
      </x:c>
      <x:c r="C8" s="28" t="str">
        <x:v>未完成</x:v>
      </x:c>
      <x:c r="D8" s="28" t="str">
        <x:v>当前真实数据A/B差异不是独立几何真值误差</x:v>
      </x:c>
      <x:c r="E8" s="28" t="str">
        <x:v>先解决合法数据访问与真值口径，再安排训练</x:v>
      </x:c>
      <x:c r="F8" s="28" t="str">
        <x:v>总报告所列关键缺口</x:v>
      </x:c>
    </x:row>
    <x:row r="9" ht="112" customHeight="1">
      <x:c r="A9" s="28" t="str">
        <x:v>P04</x:v>
      </x:c>
      <x:c r="B9" s="28" t="str">
        <x:v>论文级多方法、多种子及baseline/+M1/+M2/+M1+M2消融</x:v>
      </x:c>
      <x:c r="C9" s="28" t="str">
        <x:v>未完成</x:v>
      </x:c>
      <x:c r="D9" s="28" t="str">
        <x:v>M1/M2均未验证，不能直接做组合结论</x:v>
      </x:c>
      <x:c r="E9" s="28" t="str">
        <x:v>只有单模块通过必要对照后才进入；各任务串行</x:v>
      </x:c>
      <x:c r="F9" s="28" t="str">
        <x:v>总报告所列关键缺口</x:v>
      </x:c>
    </x:row>
    <x:row r="10" ht="112" customHeight="1">
      <x:c r="A10" s="28" t="str">
        <x:v>P05</x:v>
      </x:c>
      <x:c r="B10" s="28" t="str">
        <x:v>Endo-4DGS / Endo-4DGX当前协议公平运行对照</x:v>
      </x:c>
      <x:c r="C10" s="28" t="str">
        <x:v>未完成</x:v>
      </x:c>
      <x:c r="D10" s="28" t="str">
        <x:v>历史运行或独立光照结果不等于当前协议公平比较</x:v>
      </x:c>
      <x:c r="E10" s="28" t="str">
        <x:v>暂不全量重跑；先明确共同协议和资源预算</x:v>
      </x:c>
      <x:c r="F10" s="28" t="str">
        <x:v>不能把已有历史结果记为本轮已完成</x:v>
      </x:c>
    </x:row>
    <x:row r="11" ht="112" customHeight="1">
      <x:c r="A11" s="28" t="str">
        <x:v>P06</x:v>
      </x:c>
      <x:c r="B11" s="28" t="str">
        <x:v>EndoNeRF曝光变换</x:v>
      </x:c>
      <x:c r="C11" s="28" t="str">
        <x:v>未执行（条款限制）</x:v>
      </x:c>
      <x:c r="D11" s="28" t="str">
        <x:v>随附条款限制，已将曝光诊断转至StereoMIS</x:v>
      </x:c>
      <x:c r="E11" s="28" t="str">
        <x:v>不执行受限变换，不绕过条款</x:v>
      </x:c>
      <x:c r="F11" s="28" t="str">
        <x:v>总报告中的真实阻塞</x:v>
      </x:c>
    </x:row>
    <x:row r="12" ht="112" customHeight="1">
      <x:c r="A12" s="28" t="str">
        <x:v>P07</x:v>
      </x:c>
      <x:c r="B12" s="28" t="str">
        <x:v>C3VD独立几何数据</x:v>
      </x:c>
      <x:c r="C12" s="28" t="str">
        <x:v>阻塞</x:v>
      </x:c>
      <x:c r="D12" s="28" t="str">
        <x:v>官方入口下载配额/403，未完成获取及验证</x:v>
      </x:c>
      <x:c r="E12" s="28" t="str">
        <x:v>没有可用数据前不记为已开展实验</x:v>
      </x:c>
      <x:c r="F12" s="28" t="str">
        <x:v>总报告中的真实阻塞</x:v>
      </x:c>
    </x:row>
    <x:row r="13" ht="112" customHeight="1">
      <x:c r="A13" s="28" t="str">
        <x:v>P08</x:v>
      </x:c>
      <x:c r="B13" s="28" t="str">
        <x:v>SCARED数据</x:v>
      </x:c>
      <x:c r="C13" s="28" t="str">
        <x:v>未取得</x:v>
      </x:c>
      <x:c r="D13" s="28" t="str">
        <x:v>没有完成数据取得与验证</x:v>
      </x:c>
      <x:c r="E13" s="28" t="str">
        <x:v>获取与授权解决前不记为完成</x:v>
      </x:c>
      <x:c r="F13" s="28" t="str">
        <x:v>总报告中的真实阻塞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f184f694408647f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7" hidden="0" customWidth="1"/>
    <x:col min="4" max="4" width="23" hidden="0" customWidth="1"/>
    <x:col min="5" max="5" width="34" hidden="0" customWidth="1"/>
    <x:col min="6" max="6" width="34" hidden="0" customWidth="1"/>
    <x:col min="7" max="7" width="34" hidden="0" customWidth="1"/>
    <x:col min="8" max="8" width="32" hidden="0" customWidth="1"/>
    <x:col min="9" max="9" width="34" hidden="0" customWidth="1"/>
    <x:col min="10" max="10" width="10" hidden="0" customWidth="1"/>
    <x:col min="11" max="11" width="14" hidden="0" customWidth="1"/>
    <x:col min="12" max="12" width="27" hidden="0" customWidth="1"/>
    <x:col min="13" max="13" width="34" hidden="0" customWidth="1"/>
    <x:col min="14" max="14" width="40" hidden="0" customWidth="1"/>
    <x:col min="15" max="15" width="36" hidden="0" customWidth="1"/>
    <x:col min="16" max="16" width="36" hidden="0" customWidth="1"/>
    <x:col min="17" max="17" width="40" hidden="0" customWidth="1"/>
    <x:col min="18" max="18" width="34" hidden="0" customWidth="1"/>
  </x:cols>
  <x:sheetData>
    <x:row r="1" ht="32" customHeight="1">
      <x:c r="A1" s="9" t="str">
        <x:v>后续实验追加模板 · 每次运行留痕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</x:row>
    <x:row r="2" ht="24" customHeight="1">
      <x:c r="A2" s="35" t="str">
        <x:v>空行是待填模板，不是已执行实验。开始前填写目的/对照/协议/唯一变量；结束后填写结果/证据/判定。
准确日期、种子、运行次数不明时不补猜测。每项任务串行运行，设备信息据实填写。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</x:row>
    <x:row r="3" ht="24" customHeight="1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 ht="38" customHeight="1">
      <x:c r="A5" s="17" t="str">
        <x:v>新记录编号</x:v>
      </x:c>
      <x:c r="B5" s="17" t="str">
        <x:v>真实运行ID/路径</x:v>
      </x:c>
      <x:c r="C5" s="17" t="str">
        <x:v>开始日期</x:v>
      </x:c>
      <x:c r="D5" s="17" t="str">
        <x:v>状态</x:v>
      </x:c>
      <x:c r="E5" s="17" t="str">
        <x:v>研究问题/目的</x:v>
      </x:c>
      <x:c r="F5" s="17" t="str">
        <x:v>数据/窗口与划分ID</x:v>
      </x:c>
      <x:c r="G5" s="17" t="str">
        <x:v>对照组/必要消融</x:v>
      </x:c>
      <x:c r="H5" s="17" t="str">
        <x:v>协议/代码commit</x:v>
      </x:c>
      <x:c r="I5" s="17" t="str">
        <x:v>唯一改变项</x:v>
      </x:c>
      <x:c r="J5" s="17" t="str">
        <x:v>种子</x:v>
      </x:c>
      <x:c r="K5" s="17" t="str">
        <x:v>训练步数</x:v>
      </x:c>
      <x:c r="L5" s="17" t="str">
        <x:v>GPU/峰值显存</x:v>
      </x:c>
      <x:c r="M5" s="17" t="str">
        <x:v>评价集与掩膜口径</x:v>
      </x:c>
      <x:c r="N5" s="17" t="str">
        <x:v>实测结果</x:v>
      </x:c>
      <x:c r="O5" s="17" t="str">
        <x:v>允许的结论</x:v>
      </x:c>
      <x:c r="P5" s="17" t="str">
        <x:v>局限/失败原因</x:v>
      </x:c>
      <x:c r="Q5" s="17" t="str">
        <x:v>证据文件</x:v>
      </x:c>
      <x:c r="R5" s="17" t="str">
        <x:v>下一步判定</x:v>
      </x:c>
    </x:row>
    <x:row r="6" ht="70" customHeight="1">
      <x:c r="A6" s="28"/>
      <x:c r="B6" s="28"/>
      <x:c r="C6" s="52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 ht="70" customHeight="1">
      <x:c r="A7" s="28"/>
      <x:c r="B7" s="28"/>
      <x:c r="C7" s="52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 ht="70" customHeight="1">
      <x:c r="A8" s="28"/>
      <x:c r="B8" s="28"/>
      <x:c r="C8" s="52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 ht="70" customHeight="1">
      <x:c r="A9" s="28"/>
      <x:c r="B9" s="28"/>
      <x:c r="C9" s="52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 ht="70" customHeight="1">
      <x:c r="A10" s="28"/>
      <x:c r="B10" s="28"/>
      <x:c r="C10" s="52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 ht="70" customHeight="1">
      <x:c r="A11" s="28"/>
      <x:c r="B11" s="28"/>
      <x:c r="C11" s="52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 ht="70" customHeight="1">
      <x:c r="A12" s="28"/>
      <x:c r="B12" s="28"/>
      <x:c r="C12" s="52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 ht="70" customHeight="1">
      <x:c r="A13" s="28"/>
      <x:c r="B13" s="28"/>
      <x:c r="C13" s="52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 ht="70" customHeight="1">
      <x:c r="A14" s="28"/>
      <x:c r="B14" s="28"/>
      <x:c r="C14" s="52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 ht="70" customHeight="1">
      <x:c r="A15" s="28"/>
      <x:c r="B15" s="28"/>
      <x:c r="C15" s="52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 ht="70" customHeight="1">
      <x:c r="A16" s="28"/>
      <x:c r="B16" s="28"/>
      <x:c r="C16" s="52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 ht="70" customHeight="1">
      <x:c r="A17" s="28"/>
      <x:c r="B17" s="28"/>
      <x:c r="C17" s="52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</x:sheetData>
  <x:mergeCells>
    <x:mergeCell ref="A1:R1"/>
    <x:mergeCell ref="A2:R3"/>
  </x:mergeCells>
  <x:dataValidations count="1">
    <x:dataValidation type="list" sqref="D6:D17">
      <x:formula1>"计划,运行中,完成·有效,完成·负结果,阻塞,取消"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8d25b63101408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40" hidden="0" customWidth="1"/>
    <x:col min="4" max="4" width="36" hidden="0" customWidth="1"/>
    <x:col min="5" max="5" width="40" hidden="0" customWidth="1"/>
    <x:col min="6" max="6" width="40" hidden="0" customWidth="1"/>
  </x:cols>
  <x:sheetData>
    <x:row r="1" ht="32" customHeight="1">
      <x:c r="A1" s="9" t="str">
        <x:v>历史阶段归档 · 不与当前基准混比</x:v>
      </x:c>
      <x:c r="B1" s="9"/>
      <x:c r="C1" s="9"/>
      <x:c r="D1" s="9"/>
      <x:c r="E1" s="9"/>
      <x:c r="F1" s="9"/>
    </x:row>
    <x:row r="2" ht="24" customHeight="1">
      <x:c r="A2" s="35" t="str">
        <x:v>以下来自本对话较早阶段的用户报告，仅防止遗漏历史工作。与最新64次训练的对应关系未逐项核对，不能累加数量。
历史协议、掩膜、实现或数据边界未对齐之前，不用旧新分数差推断改进或退化。</x:v>
      </x:c>
      <x:c r="B2" s="35"/>
      <x:c r="C2" s="35"/>
      <x:c r="D2" s="35"/>
      <x:c r="E2" s="35"/>
      <x:c r="F2" s="35"/>
    </x:row>
    <x:row r="3" ht="24" customHeight="1">
      <x:c r="A3" s="35"/>
      <x:c r="B3" s="35"/>
      <x:c r="C3" s="35"/>
      <x:c r="D3" s="35"/>
      <x:c r="E3" s="35"/>
      <x:c r="F3" s="35"/>
    </x:row>
    <x:row r="4">
      <x:c r="A4" s="28"/>
      <x:c r="B4" s="28"/>
      <x:c r="C4" s="28"/>
      <x:c r="D4" s="28"/>
      <x:c r="E4" s="28"/>
      <x:c r="F4" s="28"/>
    </x:row>
    <x:row r="5" ht="38" customHeight="1">
      <x:c r="A5" s="17" t="str">
        <x:v>历史编号</x:v>
      </x:c>
      <x:c r="B5" s="17" t="str">
        <x:v>阶段/目的</x:v>
      </x:c>
      <x:c r="C5" s="17" t="str">
        <x:v>已报告结果</x:v>
      </x:c>
      <x:c r="D5" s="17" t="str">
        <x:v>口径与样本</x:v>
      </x:c>
      <x:c r="E5" s="17" t="str">
        <x:v>当前使用规则</x:v>
      </x:c>
      <x:c r="F5" s="17" t="str">
        <x:v>历史证据定位</x:v>
      </x:c>
    </x:row>
    <x:row r="6" ht="160" customHeight="1">
      <x:c r="A6" s="28" t="str">
        <x:v>H01</x:v>
      </x:c>
      <x:c r="B6" s="28" t="str">
        <x:v>初次审计与统一重评</x:v>
      </x:c>
      <x:c r="C6" s="28" t="str">
        <x:v>888条逐帧指标、35张对照图、5段视频；502个已有权重哈希不变。</x:v>
      </x:c>
      <x:c r="D6" s="28" t="str">
        <x:v>历史审计产物；不是新增888次训练</x:v>
      </x:c>
      <x:c r="E6" s="28" t="str">
        <x:v>仅归档；与最新64次训练的逐条对应关系未核对，不能相加</x:v>
      </x:c>
      <x:c r="F6" s="28" t="str">
        <x:v>/hy-tmp/audit_results_20260925_194637</x:v>
      </x:c>
    </x:row>
    <x:row r="7" ht="160" customHeight="1">
      <x:c r="A7" s="28" t="str">
        <x:v>H02</x:v>
      </x:c>
      <x:c r="B7" s="28" t="str">
        <x:v>初次审计的原配置比较</x:v>
      </x:c>
      <x:c r="C7" s="28" t="str">
        <x:v>EndoNeRF两场景等权有效组织PSNR：Deform3DGS 36.932；SurgicalGS 36.927；Endo-4DGS 34.318 dB。</x:v>
      </x:c>
      <x:c r="D7" s="28" t="str">
        <x:v>历史原配置；两主模型初始化使用测试帧信息</x:v>
      </x:c>
      <x:c r="E7" s="28" t="str">
        <x:v>不能与当前新协议单种子基准直接比较</x:v>
      </x:c>
      <x:c r="F7" s="28" t="str">
        <x:v>/hy-tmp/audit_results_20260925_194637/metrics_summary.csv</x:v>
      </x:c>
    </x:row>
    <x:row r="8" ht="160" customHeight="1">
      <x:c r="A8" s="28" t="str">
        <x:v>H03</x:v>
      </x:c>
      <x:c r="B8" s="28" t="str">
        <x:v>P3窗口重叠审计</x:v>
      </x:c>
      <x:c r="C8" s="28" t="str">
        <x:v>后两个P3片段共享100帧，其中25帧跨训练/测试归属。</x:v>
      </x:c>
      <x:c r="D8" s="28" t="str">
        <x:v>历史帧划分审计</x:v>
      </x:c>
      <x:c r="E8" s="28" t="str">
        <x:v>不能视作独立调参/最终测试集；不自动证明每个独立训练内部泄漏</x:v>
      </x:c>
      <x:c r="F8" s="28" t="str">
        <x:v>/hy-tmp/audit_results_20260925_194637/protocol_audit.md</x:v>
      </x:c>
    </x:row>
    <x:row r="9" ht="160" customHeight="1">
      <x:c r="A9" s="28" t="str">
        <x:v>H04</x:v>
      </x:c>
      <x:c r="B9" s="28" t="str">
        <x:v>早期训练帧初始化基准：pulling</x:v>
      </x:c>
      <x:c r="C9" s="28" t="str">
        <x:v>组织块：PSNR 37.985±0.081 dB，SSIM 0.94874±0.00042，LPIPS 0.05557±0.00015；全部有效组织像素PSNR 36.537±0.091 dB。</x:v>
      </x:c>
      <x:c r="D9" s="28" t="str">
        <x:v>Deform3DGS；3种子；每次3000步；历史协议</x:v>
      </x:c>
      <x:c r="E9" s="28" t="str">
        <x:v>保留记录但不与最新35.865等直接比；尚未做两批协议逐项对齐</x:v>
      </x:c>
      <x:c r="F9" s="28" t="str">
        <x:v>/hy-tmp/deform_traininit_20260925_211838/metrics_summary.csv</x:v>
      </x:c>
    </x:row>
    <x:row r="10" ht="160" customHeight="1">
      <x:c r="A10" s="28" t="str">
        <x:v>H05</x:v>
      </x:c>
      <x:c r="B10" s="28" t="str">
        <x:v>早期训练帧初始化基准：cutting</x:v>
      </x:c>
      <x:c r="C10" s="28" t="str">
        <x:v>组织块：PSNR 38.423±0.025 dB，SSIM 0.96005±0.00037，LPIPS 0.03472±0.00070；全部有效组织像素PSNR 37.283±0.037 dB。</x:v>
      </x:c>
      <x:c r="D10" s="28" t="str">
        <x:v>Deform3DGS；3种子；每次3000步；历史协议</x:v>
      </x:c>
      <x:c r="E10" s="28" t="str">
        <x:v>保留记录但不与最新34.274等直接比；尚未做两批协议逐项对齐</x:v>
      </x:c>
      <x:c r="F10" s="28" t="str">
        <x:v>/hy-tmp/deform_traininit_20260925_211838/metrics_summary.csv</x:v>
      </x:c>
    </x:row>
    <x:row r="11" ht="160" customHeight="1">
      <x:c r="A11" s="28" t="str">
        <x:v>H06</x:v>
      </x:c>
      <x:c r="B11" s="28" t="str">
        <x:v>早期高亮/边界区域诊断</x:v>
      </x:c>
      <x:c r="C11" s="28" t="str">
        <x:v>高亮内部每像素MSE约为非高亮边界的10.1–10.7倍；边界面积更大、总误差贡献更高。</x:v>
      </x:c>
      <x:c r="D11" s="28" t="str">
        <x:v>历史四区域分析；高亮是亮度代理</x:v>
      </x:c>
      <x:c r="E11" s="28" t="str">
        <x:v>仅为关联；不能直接认定高光导致错误形变</x:v>
      </x:c>
      <x:c r="F11" s="28" t="str">
        <x:v>/hy-tmp/deform_traininit_20260925_211838/region_error_analysis.csv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20c1a891f179440e"/>
  </x:tableParts>
</x:worksheet>
</file>